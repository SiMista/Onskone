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427222\Downloads\"/>
    </mc:Choice>
  </mc:AlternateContent>
  <xr:revisionPtr revIDLastSave="0" documentId="13_ncr:1_{E1328ADC-9342-4337-AA8A-6986290925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stions" sheetId="1" r:id="rId1"/>
    <sheet name="Nombre" sheetId="2" r:id="rId2"/>
    <sheet name="Noms Themes et Grilles" sheetId="4" r:id="rId3"/>
    <sheet name="📊 Résumé" sheetId="3" state="hidden" r:id="rId4"/>
  </sheets>
  <definedNames>
    <definedName name="_xlnm._FilterDatabase" localSheetId="1" hidden="1">Nombre!$M$1:$N$313</definedName>
    <definedName name="_xlnm._FilterDatabase" localSheetId="0" hidden="1">Questions!$A$1:$F$673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3" i="2"/>
  <c r="F2" i="2"/>
  <c r="E649" i="1"/>
  <c r="E661" i="1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C17" i="2"/>
  <c r="N17" i="2"/>
  <c r="C16" i="2"/>
  <c r="N16" i="2"/>
  <c r="C15" i="2"/>
  <c r="N15" i="2"/>
  <c r="C14" i="2"/>
  <c r="N14" i="2"/>
  <c r="C13" i="2"/>
  <c r="N13" i="2"/>
  <c r="C12" i="2"/>
  <c r="N12" i="2"/>
  <c r="C11" i="2"/>
  <c r="N11" i="2"/>
  <c r="C10" i="2"/>
  <c r="N10" i="2"/>
  <c r="C9" i="2"/>
  <c r="N9" i="2"/>
  <c r="C8" i="2"/>
  <c r="N8" i="2"/>
  <c r="C7" i="2"/>
  <c r="N7" i="2"/>
  <c r="C6" i="2"/>
  <c r="N6" i="2"/>
  <c r="C5" i="2"/>
  <c r="G4" i="2" s="1"/>
  <c r="N5" i="2"/>
  <c r="C4" i="2"/>
  <c r="N4" i="2"/>
  <c r="N3" i="2"/>
  <c r="C3" i="2"/>
  <c r="N2" i="2"/>
  <c r="C2" i="2"/>
  <c r="C18" i="2" s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0" i="1"/>
  <c r="E659" i="1"/>
  <c r="E658" i="1"/>
  <c r="E657" i="1"/>
  <c r="E656" i="1"/>
  <c r="E655" i="1"/>
  <c r="E654" i="1"/>
  <c r="E653" i="1"/>
  <c r="E652" i="1"/>
  <c r="E651" i="1"/>
  <c r="E650" i="1"/>
  <c r="E635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2" i="2" l="1"/>
  <c r="G3" i="2"/>
</calcChain>
</file>

<file path=xl/sharedStrings.xml><?xml version="1.0" encoding="utf-8"?>
<sst xmlns="http://schemas.openxmlformats.org/spreadsheetml/2006/main" count="2430" uniqueCount="1130">
  <si>
    <t>Question</t>
  </si>
  <si>
    <t>Le Tip !</t>
  </si>
  <si>
    <t>Thème</t>
  </si>
  <si>
    <t>Sujet</t>
  </si>
  <si>
    <t>Remarques de Boubou</t>
  </si>
  <si>
    <t>Quelle est la première pensée que tu as au réveil la majorité des matins ?</t>
  </si>
  <si>
    <t>QUOTIDIEN</t>
  </si>
  <si>
    <t>Matin</t>
  </si>
  <si>
    <t>Si tu pouvais changer une chose dans ta routine matinale actuelle, ce serait quoi ?</t>
  </si>
  <si>
    <t>Quelle est la personne la plus intelligente du groupe ?</t>
  </si>
  <si>
    <t>ENTRE NOUS</t>
  </si>
  <si>
    <t>Meilleurs</t>
  </si>
  <si>
    <t>Qui est la personne la plus drôle du groupe ?</t>
  </si>
  <si>
    <t>Y a-t-il un moment de ta vie dont tu n'as aucun souvenir mais qu'on t'a souvent raconté ?</t>
  </si>
  <si>
    <t>RETOUR EN ARRIERE</t>
  </si>
  <si>
    <t>Moments de vie</t>
  </si>
  <si>
    <t>Quel moment de vie prenais-tu pour acquis et ne te satisfait pas, avant de te rendre compte qu'il était vraiment unique ?</t>
  </si>
  <si>
    <t>Quelle qualité partages tu avec ton voisin de gauche ?</t>
  </si>
  <si>
    <t>Partage</t>
  </si>
  <si>
    <t>Si tu devais offrir un cadeau à ton voisin de gauche, que lui donnerais-tu ?</t>
  </si>
  <si>
    <t>Quel est ton sens le plus développé ?</t>
  </si>
  <si>
    <t>5 sens</t>
  </si>
  <si>
    <t>Si tu perdais un sens pour toujours, lequel choisis-tu de sacrifier ?</t>
  </si>
  <si>
    <t>Quel est le mot qui résume toute ta période scolaire ?</t>
  </si>
  <si>
    <t>A l'école</t>
  </si>
  <si>
    <t>Quelle était ta matière préférée à l'école ?</t>
  </si>
  <si>
    <t>Si tu gagnais à la loterie, quel serait ton premier achat ?</t>
  </si>
  <si>
    <t>AMBITIONS</t>
  </si>
  <si>
    <t>Achats</t>
  </si>
  <si>
    <t>Quelle est la chose la plus chère que tu possèdes en terme de prix ?</t>
  </si>
  <si>
    <t>Quelle est l’activité manuelle que tu essayes d'apprendre actuellement ?</t>
  </si>
  <si>
    <t>PASSIONS &amp; ACTIVITES</t>
  </si>
  <si>
    <t>Activité</t>
  </si>
  <si>
    <t>Quelle est l'activité qui te détend totalement ?</t>
  </si>
  <si>
    <t>Quelle est la célébrité que tu trouves le plus BG ?</t>
  </si>
  <si>
    <t>CINE &amp; MUSIQUE</t>
  </si>
  <si>
    <t>Admirateur</t>
  </si>
  <si>
    <t>Si tu pouvais être n’importe quelle célébrité pendant une journée, qui serais-tu ?</t>
  </si>
  <si>
    <t>Décris l'ambiance de soirée parfaite pour toi en trois éléments précis.</t>
  </si>
  <si>
    <t>VOYAGES &amp; SORTIE</t>
  </si>
  <si>
    <t>Ambiance</t>
  </si>
  <si>
    <t>Quelle est l'ambiance musicale que tu mets quand tu veux mettre tout le monde de bonne humeur ?</t>
  </si>
  <si>
    <t>Y a-t-il quelqu'un que tu as perdu de vue et que tu aimerais retrouver demain ?</t>
  </si>
  <si>
    <t>AMIS &amp; FAMILLE</t>
  </si>
  <si>
    <t>Amis perdus</t>
  </si>
  <si>
    <t>Quelle amitié terminée t'a appris quelque chose d'important sur toi ?</t>
  </si>
  <si>
    <t>Quelle est la chose la plus folle que tu aies faite pour un ami ?</t>
  </si>
  <si>
    <t>Amitié proche</t>
  </si>
  <si>
    <t>Quelle est ton activité préférée avec tes amis ?</t>
  </si>
  <si>
    <t>Quelle est la chose que tu fais pour toi seul(e), sans qu'elle profite à quelqu'un d'autre ?</t>
  </si>
  <si>
    <t>EMOTIONS &amp; BIEN-ÊTRE</t>
  </si>
  <si>
    <t>Amour propre</t>
  </si>
  <si>
    <t>Quel compliment tu as du mal à recevoir sans le minimiser ?</t>
  </si>
  <si>
    <t>Si tu pouvais parler à un animal, lequel choisirais-tu ?</t>
  </si>
  <si>
    <t>Animal</t>
  </si>
  <si>
    <t>Quel animal te représente le mieux, et qu'est-ce que ça dit de toi ?</t>
  </si>
  <si>
    <t>Si tu pouvais avoir un animal sauvage totalement domestiqué, lequel choisirais-tu ?</t>
  </si>
  <si>
    <t>Animal de Compagnie</t>
  </si>
  <si>
    <t>Quel est le nom de l'animal de compagnie qui t'a le plus marqué ?</t>
  </si>
  <si>
    <t>Quel est le film d’animation qui te rappelle ton enfance ?</t>
  </si>
  <si>
    <t>Animation</t>
  </si>
  <si>
    <t>Quel est le film d'animation le plus célèbre, que tu n'as-tu jamais vu ?</t>
  </si>
  <si>
    <t>Comment tu aimes fêter ton anniversaire ?</t>
  </si>
  <si>
    <t>Anniversaire</t>
  </si>
  <si>
    <t>Si tu pouvais choisir ton cadeau d'anniversaire parfait cette année, ce serait quoi ?</t>
  </si>
  <si>
    <t>Qui du groupe a l'air le plus sérieux mais est en réalité le plus fou ?</t>
  </si>
  <si>
    <t>Apparences trompeuses</t>
  </si>
  <si>
    <t>Qui du groupe a l'air le plus intelligent, mais est en vrai le plus con ?</t>
  </si>
  <si>
    <t>Si tu pouvais concevoir ta maison idéale, comment elle serait ?</t>
  </si>
  <si>
    <t>Architecture</t>
  </si>
  <si>
    <t>Quel est le bâtiment ou lieu que tu trouves le plus beau dans le monde ?</t>
  </si>
  <si>
    <t>Si tu pouvais maîtriser parfaitement une forme d'art, laquelle choisirais-tu ?</t>
  </si>
  <si>
    <t>Art</t>
  </si>
  <si>
    <t>Quelle œuvre d'art (tableau, sculpture, photo...) t'a un jour laissé sans voix ?</t>
  </si>
  <si>
    <t>Quelle est la vision de toi-même dans 10 ans que tu portes mais n'avoues à presque personne ?</t>
  </si>
  <si>
    <t>Aspirations profondes</t>
  </si>
  <si>
    <t>Si l'argent et le regard des autres n'existaient pas, comment passerais-tu tes journées ?</t>
  </si>
  <si>
    <t>Quel est ton signe astrologique et est-ce que tu y crois ? Exemple de réponse : Scorpion/Oui</t>
  </si>
  <si>
    <t>QUI ES-TU ?</t>
  </si>
  <si>
    <t>Astrologie</t>
  </si>
  <si>
    <t>Quelle est la superstitition à laquelle tu crois ?</t>
  </si>
  <si>
    <t>Quelle attente non formulée a causé ta plus grande déception relationnelle ?</t>
  </si>
  <si>
    <t>Attentes</t>
  </si>
  <si>
    <t>Quelle est la chose qui, une fois que tu l'as eu, était beaucoup moins bien qu'attendu ?</t>
  </si>
  <si>
    <t>Quelle est l'heure à laquelle tu te réveilles ?</t>
  </si>
  <si>
    <t>Au dodo</t>
  </si>
  <si>
    <t>Combien d'heures dors-tu en moyenne par nuit ?</t>
  </si>
  <si>
    <t>Quel serait le titre de ton autobiographie ?</t>
  </si>
  <si>
    <t>Autobiographie</t>
  </si>
  <si>
    <t>C'est le moment d'écrire un livre sur la vie de quelqu'un, sur qui tu l'écris ?</t>
  </si>
  <si>
    <t>Quel aspect ou défi de la vie future te fait le plus peur ?</t>
  </si>
  <si>
    <t>Avenir</t>
  </si>
  <si>
    <t>Quels sont les trois mots qui te viennent à l'esprit quand tu penses à l'avenir ?</t>
  </si>
  <si>
    <t>Quelle est la théorie du complot à laquelle tu adhères secrètement ?</t>
  </si>
  <si>
    <t>LES DOSSIERS</t>
  </si>
  <si>
    <t>Aveux</t>
  </si>
  <si>
    <t>Quelle opinion impopulaire assumes-tu complètement ?</t>
  </si>
  <si>
    <t>Quel type d'humour te fait vraiment rire ?</t>
  </si>
  <si>
    <t>Blague</t>
  </si>
  <si>
    <t>Raconte-nous ta meilleure blague ?</t>
  </si>
  <si>
    <t>Avec combien de personnes différentes as-tu couché ?</t>
  </si>
  <si>
    <t>HOT</t>
  </si>
  <si>
    <t>Bodycount</t>
  </si>
  <si>
    <t>A quel âge as-tu eu ta première relation ?</t>
  </si>
  <si>
    <t>Quelle est la boisson la plus originale ou étrange que tu aies goûtée ?</t>
  </si>
  <si>
    <t>Boisson</t>
  </si>
  <si>
    <t>Quel est ton cocktail préféré ?</t>
  </si>
  <si>
    <t>Quel sujet supposément marrant te fait pas trop rire ?</t>
  </si>
  <si>
    <t>Bon délire</t>
  </si>
  <si>
    <t>Quel est le truc/souvenir/sujet qui te fait assurément rire quand tu y penses, même seul ?</t>
  </si>
  <si>
    <t>reformuler</t>
  </si>
  <si>
    <t>Quel est le bruit naturel que tu adores écouter ?</t>
  </si>
  <si>
    <t>Bruit</t>
  </si>
  <si>
    <t>Si tu pouvais supprimer un bruit de l’existence, lequel choisirais-tu ?</t>
  </si>
  <si>
    <t>Quel est le cadeau typique de dernière minute que tu offres souvent ?</t>
  </si>
  <si>
    <t>FACE À TOI-MÊME</t>
  </si>
  <si>
    <t>Cadeaux Reçus</t>
  </si>
  <si>
    <t>Quel est le pire cadeau que tu aies jamais reçu ?</t>
  </si>
  <si>
    <t>Si tu pouvais offrir un cadeau à la personne de gauche sans limite de budget, que choisirais-tu ?</t>
  </si>
  <si>
    <t>Cadeaux</t>
  </si>
  <si>
    <t>Si la personne à droite t'offrait un cadeau, lequel serait-t'il ?</t>
  </si>
  <si>
    <t>Quel est le plus grand coup de chance que tu aies jamais eu ?</t>
  </si>
  <si>
    <t>Chance et malchance</t>
  </si>
  <si>
    <t>Quel est le plus gros coup de malchance que tu penses avoir eu ?</t>
  </si>
  <si>
    <t>Quelle est la personne que tu trouves la plus stylée du groupe ?</t>
  </si>
  <si>
    <t>Percée</t>
  </si>
  <si>
    <t>Trouver meilleur nom de type</t>
  </si>
  <si>
    <t>Qui aurait le plus de chances de devenir célèbre ?</t>
  </si>
  <si>
    <t>Quelle est une célébrité qui t'a déçu ?</t>
  </si>
  <si>
    <t>Célébrité</t>
  </si>
  <si>
    <t>Quelle est la dernière célébrité que tu as croisé dans la vraie vie ?</t>
  </si>
  <si>
    <t>Quel est ton meilleur souvenir de l'année ?</t>
  </si>
  <si>
    <t>Cette année</t>
  </si>
  <si>
    <t>Quel est ton pire moment de cette année ?</t>
  </si>
  <si>
    <t>Quelle est la chose que tu ne changeras jamais chez toi ?</t>
  </si>
  <si>
    <t>Choses à changer</t>
  </si>
  <si>
    <t>Quelle est la chose que tu regrettes de ne pas avoir faite ?</t>
  </si>
  <si>
    <t>Existe t'il un sujet ou tu es clairement pas objectif ?</t>
  </si>
  <si>
    <t>Changements</t>
  </si>
  <si>
    <t>Quel est le plus grand changement que tu aimerais voir dans le monde dans les 10 prochaines années ?</t>
  </si>
  <si>
    <t>Si tu pouvais échanger ta vie avec quelqu'un du groupe pendant une semaine, qui choisirais-tu ?</t>
  </si>
  <si>
    <t>Changements de vie</t>
  </si>
  <si>
    <t>Qui a la vie qui te ressemble le plus ?</t>
  </si>
  <si>
    <t>Quelle est ta chanson nostalgie ?</t>
  </si>
  <si>
    <t>Chanson nostalgie</t>
  </si>
  <si>
    <t>C'est quoi LA chanson qu'il faut absolument mettre en soirée pour danser ?</t>
  </si>
  <si>
    <t>Quelle est pour toi la meilleure chanson de tous les temps ?</t>
  </si>
  <si>
    <t>Chansons</t>
  </si>
  <si>
    <t>La chanson que tu connais par cœur, et que tu choisis sans faute au karaoké ?</t>
  </si>
  <si>
    <t>Quelle est la coïncidence la plus troublante que tu aies vécue ?</t>
  </si>
  <si>
    <t>Coïncidences</t>
  </si>
  <si>
    <t>As-tu déjà eu une intuition ou un pressentiment qui s'est réalisé de façon inexplicable ?</t>
  </si>
  <si>
    <t>Quel est le dernier film que tu es allé voir au cinéma ?</t>
  </si>
  <si>
    <t>Cinéma</t>
  </si>
  <si>
    <t>Quel film méritait absolument d'être vu sur grand écran plutôt qu'en streaming ?</t>
  </si>
  <si>
    <t>Dans quel domaine ta confiance en toi a le plus évolué ces dernières années ?</t>
  </si>
  <si>
    <t>Confiance en soi</t>
  </si>
  <si>
    <t>Comment tu te prépares mentalement avant un moment important ?</t>
  </si>
  <si>
    <t>Quelle est ta collection d'objets la plus impressionnante ?</t>
  </si>
  <si>
    <t>Collection</t>
  </si>
  <si>
    <t>Quelle est ta collection que peu de gens connaissent ?</t>
  </si>
  <si>
    <t>Avec qui tu aimerais vivre en colocation ?</t>
  </si>
  <si>
    <t>Colocation</t>
  </si>
  <si>
    <t>Quelle est la pire habitude que tu aies supportée chez quelqu'un avec qui tu vivais ?</t>
  </si>
  <si>
    <t>Quel est ton moyen de communication préféré ? (SMS, Messages, Appels, Insta...)</t>
  </si>
  <si>
    <t>Messages</t>
  </si>
  <si>
    <t>En moyenne, combien de messages envoies-tu par jour ?</t>
  </si>
  <si>
    <t>BOF</t>
  </si>
  <si>
    <t>Quelle est la phrase que tu utilises pour clore une conversation qui s'éternise ?</t>
  </si>
  <si>
    <t>Communications</t>
  </si>
  <si>
    <t>Quelle est la plus grande contradiction entre ce que tu prônes et ce que tu fais réellement ?</t>
  </si>
  <si>
    <t>Dans quel domaine tu te compares encore trop aux autres, même si tu sais que c'est contre-productif ?</t>
  </si>
  <si>
    <t>Comparaison</t>
  </si>
  <si>
    <t>Quelle réussite de quelqu'un te donne envie de progresser ?</t>
  </si>
  <si>
    <t>Quel est le compliment qui t'a le plus touché(e) dans ta vie, et de qui venait t'il ?</t>
  </si>
  <si>
    <t>Compliments</t>
  </si>
  <si>
    <t>Quel est le compliment que tu fais souvent aux autres mais que tu n'arrives pas à t'appliquer à toi-même ?</t>
  </si>
  <si>
    <t>Quel comportement tu as quand tu es vramient amoureux ?</t>
  </si>
  <si>
    <t>Sous le charme</t>
  </si>
  <si>
    <t>Quel comportement pourrait te faire quitter le date en 10 secondes ?</t>
  </si>
  <si>
    <t>Quel est le premier concert auquel tu as assisté ?</t>
  </si>
  <si>
    <t>Concerts &amp; Danse</t>
  </si>
  <si>
    <t>Si tu pouvais maîtriser un style de danse, lequel choisirais-tu ?</t>
  </si>
  <si>
    <t>Qu'est-ce qui peut faire s'effondrer ta confiance en toi en quelques secondes ?</t>
  </si>
  <si>
    <t>Confiance</t>
  </si>
  <si>
    <t>Quelle est la chose qui peut instantanément faire gagner ta confiance à quelqu'un ?</t>
  </si>
  <si>
    <t>Quelle est la plus grosse connerie que tu aies faite ?</t>
  </si>
  <si>
    <t>Conneries</t>
  </si>
  <si>
    <t>Qui as-tu déjà poussé à la connerie, et qu'a-t-il fait ?</t>
  </si>
  <si>
    <t>Quel est le conseil amoureux que tu donnerais à ton "moi" plus jeune ?</t>
  </si>
  <si>
    <t>Conseils amoureux</t>
  </si>
  <si>
    <t>Quelle est ta maxime en amour ?</t>
  </si>
  <si>
    <t>Quel conseil donnerais-tu à ton toi plus jeune?</t>
  </si>
  <si>
    <t>Plus Jeune</t>
  </si>
  <si>
    <t>Qu'est-ce qui rendait ton toi d'enfant heureux et que tu as arrêté de faire adulte ?</t>
  </si>
  <si>
    <t>Quel type de contenu préfères-tu voir sur les réseaux ?</t>
  </si>
  <si>
    <t>Contenu des réseaux</t>
  </si>
  <si>
    <t>Quelle est la chose que tu postes le moins sur les réseaux mais qui représente le mieux ta vraie vie ?</t>
  </si>
  <si>
    <t>Quelle est la chose que tu possèdes (talent, trait, situation) et dont tu n'es pas assez fier(ère) ?</t>
  </si>
  <si>
    <t>Contradictions</t>
  </si>
  <si>
    <t>Qu'est-ce qui est le + contradictoire entre tes envies et ta vie de tous les jours ?</t>
  </si>
  <si>
    <t>Si tu pouvais avoir une conversation de 30 minutes avec n'importe qui au monde vivant aujourd'hui, qui serait-ce ?</t>
  </si>
  <si>
    <t>Conversations</t>
  </si>
  <si>
    <t>Quelle est la conversation la plus dure que tu as eu à mener ?</t>
  </si>
  <si>
    <t>Quelle partie de ton corps tu aimes le plus, et pourquoi ?</t>
  </si>
  <si>
    <t>Corps</t>
  </si>
  <si>
    <t>Quel est ton complexe physique ?</t>
  </si>
  <si>
    <t>Quel est ton plaisir coupable en matière de musique que tu n'assumes pas vraiment ?</t>
  </si>
  <si>
    <t>Coupable</t>
  </si>
  <si>
    <t>Quelle émission ou contenu vraiment nul tu regardes quand même avec plaisir ?</t>
  </si>
  <si>
    <t>Quelle est la première chose que tu mets dans ton caddie en faisant les courses ?</t>
  </si>
  <si>
    <t>Courses</t>
  </si>
  <si>
    <t>Quel est ton magasin ou site web préféré pour faire les courses ?</t>
  </si>
  <si>
    <t>Quel serait ton talent caché ?</t>
  </si>
  <si>
    <t>Créativité</t>
  </si>
  <si>
    <t>Quelle idée originale as-tu eue mais jamais réalisée?</t>
  </si>
  <si>
    <t>Quel est l'ingrédient que tu utilises dans absolument tout ce que tu cuisines ?</t>
  </si>
  <si>
    <t>Cuisine</t>
  </si>
  <si>
    <t>Quel est le type de cuisine que tu préfères ?</t>
  </si>
  <si>
    <t>Quelle est la chose dont tu es vraiment fier(ère) dans ton pays ou ta culture d'origine ?</t>
  </si>
  <si>
    <t>Culture</t>
  </si>
  <si>
    <t>Quelle coutume ou tradition française (ou de ta culture) tu trouves franchement bizarre vu de l'extérieur ?</t>
  </si>
  <si>
    <t>Si tu devais expliquer ta culture à quelqu'un qui n'en sait rien, par quoi tu commencerais ?</t>
  </si>
  <si>
    <t>Ethnie</t>
  </si>
  <si>
    <t>Si tu devais changer de culture ou d'ethnie, que choisirais-tu d'être ?</t>
  </si>
  <si>
    <t>Quel domaine tu n'y connais rien, mais qui t'attire vraiment ?</t>
  </si>
  <si>
    <t>Curiosité</t>
  </si>
  <si>
    <t>Quelle est la dernière chose qui t'a rendu(e) vraiment curieux/curieuse ?</t>
  </si>
  <si>
    <t>Quel est le mot en langue étrangère que tu préfères ?</t>
  </si>
  <si>
    <t>Curiosités Linguistiques</t>
  </si>
  <si>
    <t>Y a-t-il un mot dont tu as longtemps mal compris le sens ?</t>
  </si>
  <si>
    <t>Sur quel sujet as-tu totalement changé d'avis ?</t>
  </si>
  <si>
    <t>Débats</t>
  </si>
  <si>
    <t>Quel est le sujet sur lequel tu es prêt(e) à débattre avec n’importe qui ?</t>
  </si>
  <si>
    <t>Quel serait selon toi le principal problème en France actuellement ?</t>
  </si>
  <si>
    <t>Décisions politiques</t>
  </si>
  <si>
    <t>Quelle serait ta première décision en tant que Président de la République ?</t>
  </si>
  <si>
    <t>Qu’est-ce que tu as appris récemment qui t’a marqué ?</t>
  </si>
  <si>
    <t>Découvertes</t>
  </si>
  <si>
    <t>Quelle découverte scientifique ou historique t’a le plus impressionné(e) ?</t>
  </si>
  <si>
    <t>Quel est ton plus gros défaut de caractère ?</t>
  </si>
  <si>
    <t>Défauts</t>
  </si>
  <si>
    <t>Quel défaut chez les autres as tu du mal à supporter ?</t>
  </si>
  <si>
    <t>Quel est le meilleur déguisement que tu aimerais porter ?</t>
  </si>
  <si>
    <t>Déguisement</t>
  </si>
  <si>
    <t>Si tu devais venir déguisé ici ce soir, tu aurais choisi quoi ?</t>
  </si>
  <si>
    <t>Nul à chier</t>
  </si>
  <si>
    <t>Si tu avais 10 000€ à dépenser en 24h sans les garder, comment tu les claques ?</t>
  </si>
  <si>
    <t>Budget</t>
  </si>
  <si>
    <t>Quelle est la dépense que tu justifies toujours mais que tu sais être excessive ?</t>
  </si>
  <si>
    <t>Quelle a été ta plus grosse dépense inutile ?</t>
  </si>
  <si>
    <t>Dépenses</t>
  </si>
  <si>
    <t>Quel est ton plus gros poste de dépense dans le mois ?</t>
  </si>
  <si>
    <t>Bof</t>
  </si>
  <si>
    <t>Quelle destination serais tu capabe de faire seul, tellement tu en as envie ?</t>
  </si>
  <si>
    <t>Destination</t>
  </si>
  <si>
    <t>Quelle destination te plaisait autrefois, mais maintenant plus du tout, et pourquoi ?</t>
  </si>
  <si>
    <t>Quelle ressource (livre, philosophie...) t’a le plus aidé à progresser dans ta vie ?</t>
  </si>
  <si>
    <t>Développement Perso</t>
  </si>
  <si>
    <t>Quel est l'objectif de développement personnel que tu poursuis actuellement ?</t>
  </si>
  <si>
    <t>Quelle est la chose que tu sais maintenant faire que ton toi d'il y a 5 ans n'aurait jamais imaginé ?</t>
  </si>
  <si>
    <t>Développements</t>
  </si>
  <si>
    <t>Quelle compétence professionnelle es-tu le/la plus fier(ère) d'avoir développée ?</t>
  </si>
  <si>
    <t>Si tu pouvais recevoir un compliment parfait, que voudrais-tu entendre ?</t>
  </si>
  <si>
    <t>Discussions Idéales</t>
  </si>
  <si>
    <t>Quel est ton sujet de discussion préféré ?</t>
  </si>
  <si>
    <t>Discussions</t>
  </si>
  <si>
    <t>Un talent que tu admires chez les autres mais que tu ne possèdes pas ?</t>
  </si>
  <si>
    <t>Quelle est la question que tu aimerais qu’on te pose?</t>
  </si>
  <si>
    <t>Quelle est la théorie sur la vie avec laquelle tu crois avec le plus de conviction ?</t>
  </si>
  <si>
    <t>Discussions profondes</t>
  </si>
  <si>
    <t>Quel est le sujet que tu aimerais plus aborder ?</t>
  </si>
  <si>
    <t>Qui est ton personnage Disney favori ?</t>
  </si>
  <si>
    <t>Disney</t>
  </si>
  <si>
    <t>Quel est ton film Disney favori ?</t>
  </si>
  <si>
    <t>Quelle est ta façon de gérer les disputes ?</t>
  </si>
  <si>
    <t>Disputes</t>
  </si>
  <si>
    <t>Quelle est la dispute avec un ami qui vous a finalement rapprochés ?</t>
  </si>
  <si>
    <t>Quelle est ta technique infaillible pour séduire quelqu’un ?</t>
  </si>
  <si>
    <t>Drague</t>
  </si>
  <si>
    <t>Comment décrirais-tu ton style de drague en trois mots ?</t>
  </si>
  <si>
    <t>Quelle est la chose la plus intelligente que tu aies faite avec de l'argent ?</t>
  </si>
  <si>
    <t>Economies</t>
  </si>
  <si>
    <t>Quelle est la chose la plus longtemps que tu aies économisé le plus longtemps pour acheter ?</t>
  </si>
  <si>
    <t>A qui envoies-tu le plus de message ?</t>
  </si>
  <si>
    <t>Ecriture</t>
  </si>
  <si>
    <t>Pour quel sujet la dernière fois tu as écrit une vraie lettre manuscrite à quelqu'un ?</t>
  </si>
  <si>
    <t>Quelle est la pire chose qu’on t’ait reprochée lors d’une embrouille ?</t>
  </si>
  <si>
    <t>Embrouille</t>
  </si>
  <si>
    <t>Quel comportement peut instantanément te faire monter en tension dans une embrouille ?</t>
  </si>
  <si>
    <t>Qui du groupe serait le meilleur survivant dans une émission de survie ?</t>
  </si>
  <si>
    <t>En crise</t>
  </si>
  <si>
    <t>Qui du groupe tu appellerais en premier si tu avais un gros problème à 2h du matin ?</t>
  </si>
  <si>
    <t>Quel est le premier lieu qui te vient en tête quand tu penses à ton enfance et pourquoi ?</t>
  </si>
  <si>
    <t>Endroits spécifiques</t>
  </si>
  <si>
    <t>Quel est l’endroit le plus insolite où tu as dormi ?</t>
  </si>
  <si>
    <t>Comment sais-tu instantanément si quelqu'un va compter dans ta vie ?</t>
  </si>
  <si>
    <t>Nouveaux</t>
  </si>
  <si>
    <t>Qui d'important dans ta vie as-tu rencontré très récemment ?</t>
  </si>
  <si>
    <t>Quelle est ta source d'énergie principale en ce moment dans ta vie ?</t>
  </si>
  <si>
    <t>Énergie</t>
  </si>
  <si>
    <t>Qu'est-ce qui t'a le plus motivé(e) à changer quelque chose dans ta vie récemment ?</t>
  </si>
  <si>
    <t>Quel était le dessin animé préféré de ton enfance ?</t>
  </si>
  <si>
    <t>Enfance</t>
  </si>
  <si>
    <t>Si tu pouvais revivre une journée de ton enfance, laquelle choisirais-tu ?</t>
  </si>
  <si>
    <t>Quelle cause ou engagement t'es-tu le plus impliqué(e) dans ta vie ?</t>
  </si>
  <si>
    <t>Engagement</t>
  </si>
  <si>
    <t>Y a-t-il une pétition, une association ou un mouvement que tu soutiens activement ?</t>
  </si>
  <si>
    <t>Si tu pouvais enseigner une compétence à quelqu’un, laquelle choisirais-tu ?</t>
  </si>
  <si>
    <t>Enseignement</t>
  </si>
  <si>
    <t>Si tu devenais professeur, quelle serait la matière, même loufoque, que tu eneseignerais ?</t>
  </si>
  <si>
    <t>Si tu devais reprendre des études aujourd'hui, tu étudierais quoi ?</t>
  </si>
  <si>
    <t>Etudes</t>
  </si>
  <si>
    <t>Quel prof t'a le plus influencé dans ta vie, et pourquoi ?</t>
  </si>
  <si>
    <t>Quelle phrase que tu peux entendre, peut te faire vriller ?</t>
  </si>
  <si>
    <t>Enervant</t>
  </si>
  <si>
    <t>Réponse d'enfoiré attendue : qu'est-ce qui est normal ou génial, mais qui te soule royalement ?</t>
  </si>
  <si>
    <t>Si tu pouvais tout recommencer dans un pays différent, lequel choisirais-tu ?</t>
  </si>
  <si>
    <t>Expatriations</t>
  </si>
  <si>
    <t>Quel est le lieu où tu aimerais vivre pendant un an, peu importe les contraintes ?</t>
  </si>
  <si>
    <t>Quelles sont les plus belles vacances que tu as passé ?</t>
  </si>
  <si>
    <t>Expériences de voyages</t>
  </si>
  <si>
    <t>Quelle a été ta pire expérience de voyage ?</t>
  </si>
  <si>
    <t>Dans quel sujet tu abuses ?</t>
  </si>
  <si>
    <t>Exagérations</t>
  </si>
  <si>
    <t>Qu'est-ce que tu exagères à propos de toi ?</t>
  </si>
  <si>
    <t>Dans quelle chose/activité tu perds le plus de temps ?</t>
  </si>
  <si>
    <t>Fail</t>
  </si>
  <si>
    <t>Quelle est la pire décision de dernière minute qui t’a mené à un énorme fail ?</t>
  </si>
  <si>
    <t>Si ce groupe était une famille, quel rôle aurais-tu ?</t>
  </si>
  <si>
    <t>Famille</t>
  </si>
  <si>
    <t>Si ce groupe devait partir en voyage ensemble, à qui tu ferais confiance pour l'organisation ?</t>
  </si>
  <si>
    <t>Si vous devriez faire un voyage en famille, ou iriez-vous ?</t>
  </si>
  <si>
    <t>Famille proche</t>
  </si>
  <si>
    <t>Quel est le mot qui caractérise votre famille proche ?</t>
  </si>
  <si>
    <t>Quelle est la tradition ou croyance familiale que tu as mis du temps à comprendre que c'était propre à ta famille ?</t>
  </si>
  <si>
    <t>Famille secrète</t>
  </si>
  <si>
    <t>Quel est le sujet que ta famille évite soigneusement d'aborder en réunion ?</t>
  </si>
  <si>
    <t>Quel est ton signal d'alarme quand tu sens que tu vas pas bien ?</t>
  </si>
  <si>
    <t>Fatigue</t>
  </si>
  <si>
    <t>Qu'est-ce qui te recharge le plus vite quand tu es à plat ?</t>
  </si>
  <si>
    <t>Quelle est la fête/célébration que tu préfères ?</t>
  </si>
  <si>
    <t>Fête</t>
  </si>
  <si>
    <t>Si tu pouvais créer une fête nationale, comment s'appelerait t'elle ?</t>
  </si>
  <si>
    <t>Si tu pouvais rencontrer un personnage fictif, qui choisirais-tu ?</t>
  </si>
  <si>
    <t>Fiction</t>
  </si>
  <si>
    <t>Si tu vivrais dans un monde fictif, lequel choisirais-tu ?</t>
  </si>
  <si>
    <t>Quel est le moment où tu as senti que tes parents étaient le plus fiers de toi ?</t>
  </si>
  <si>
    <t>Fierté</t>
  </si>
  <si>
    <t>Quelle est la personne dont tu es la plus fière ?</t>
  </si>
  <si>
    <t>Quelle est ta chanson romantique préférée ?</t>
  </si>
  <si>
    <t>Romance</t>
  </si>
  <si>
    <t>Le film romantique qui te fait craquer ?</t>
  </si>
  <si>
    <t>Quel est le film que tu as vu le plus de fois ?</t>
  </si>
  <si>
    <t>Films favoris</t>
  </si>
  <si>
    <t>Quel personnage de film t'inspire le plus ?</t>
  </si>
  <si>
    <t>Quel est ton endroit idéal pour un 1er date ?</t>
  </si>
  <si>
    <t>First Date</t>
  </si>
  <si>
    <t>Si tu pouvais vivre une histoire d’amour de film ou de série, laquelle choisirais-tu ?</t>
  </si>
  <si>
    <t>Quelle est l'aventure ou l'expérience la plus folle que tu aies vécue ?</t>
  </si>
  <si>
    <t>Expériences Fondatrices</t>
  </si>
  <si>
    <t>Quelle expérience difficile a le plus changé ta vision du monde ?</t>
  </si>
  <si>
    <t>Qui du groupe te fait le plus rire ?</t>
  </si>
  <si>
    <t>Fous Rires du Groupe</t>
  </si>
  <si>
    <t>Quel surnom tu pourrais donner au joueur de droite ?</t>
  </si>
  <si>
    <t>Quel moment de ta vie future attends-tu avec impatience ?</t>
  </si>
  <si>
    <t>Futur</t>
  </si>
  <si>
    <t>Si tu pouvais voir un moment de ton avenir, lequel choisirais-tu ?</t>
  </si>
  <si>
    <t>Quelle avancée technologique t'excite le plus pour les 20 prochaines années ?</t>
  </si>
  <si>
    <t>Futur de la Tech</t>
  </si>
  <si>
    <t>Quelle technologie actuelle penses-tu qu'on regrettera d'avoir créée ?</t>
  </si>
  <si>
    <t>Quel est le gadget technologique le plus inutile que tu aies possédé ?</t>
  </si>
  <si>
    <t>Gadgets &amp; Applis</t>
  </si>
  <si>
    <t>Si tu devais supprimer une seule appli de ton téléphone pour toujours, laquelle choisirais-tu ?</t>
  </si>
  <si>
    <t>Que penses-tu que la génération suivante jugera sévèrement dans nos comportements actuels ?</t>
  </si>
  <si>
    <t>Generation</t>
  </si>
  <si>
    <t>Quelle est pour toi, la meilleure génération ?</t>
  </si>
  <si>
    <t>Quelle est la chose la plus généreuse qu'on ait jamais faite pour toi ?</t>
  </si>
  <si>
    <t>Générosité</t>
  </si>
  <si>
    <t>Qu'est-ce que tu fais anonyment et généreusement, sans attendre de retour ?</t>
  </si>
  <si>
    <t>Quel geste d'amour que tu as reçu, qui t'a marqué récemment ?</t>
  </si>
  <si>
    <t>Gestes d'amour</t>
  </si>
  <si>
    <t>Quel est ton love language ?</t>
  </si>
  <si>
    <t>En moyenne, combien d'heures passes-tu pour te préparer le matin ?</t>
  </si>
  <si>
    <t>Gestion de Temps</t>
  </si>
  <si>
    <t>En moyenne, combien de temps-passes tu sur ton téléphone sur une journée ?</t>
  </si>
  <si>
    <t>Quel sont tes bonbons préférés ?</t>
  </si>
  <si>
    <t>Gourmandises</t>
  </si>
  <si>
    <t>Quel est ton péché mignon en général ?</t>
  </si>
  <si>
    <t>Quelle est la dernière chose qui t'a fait pleurer ?</t>
  </si>
  <si>
    <t>Tristesse !</t>
  </si>
  <si>
    <t>Quels moments du quotidien te rendent vrament le plus triste ?</t>
  </si>
  <si>
    <t>Quelle personne de ta vie mérite un remerciement que tu ne lui as jamais dit ?</t>
  </si>
  <si>
    <t>Gratitude</t>
  </si>
  <si>
    <t>Quelle est la chose du quotidien pour laquelle tu es le plus reconnaissant(e) ?</t>
  </si>
  <si>
    <t>Si tu devais décrire tes amis en 3 mots, lesquels choisirais-tu ?</t>
  </si>
  <si>
    <t>Groupe d'amis</t>
  </si>
  <si>
    <t>Combien d'amis estimes-tu avoir réellement ?</t>
  </si>
  <si>
    <t>Quelle est la qualité que tu cherches en priorité chez quelqu'un avec qui tu travailles ?</t>
  </si>
  <si>
    <t>Groupe de travail</t>
  </si>
  <si>
    <t>Quelle est ta pire expérience de travail en équipe ?</t>
  </si>
  <si>
    <t>Quelle musique choisirais-tu comme sonnerie d'alarme pour toujours ?</t>
  </si>
  <si>
    <t>Favorites</t>
  </si>
  <si>
    <t>Si tu pouvais écouter une seule chanson pour le reste de ta vie, laquelle choisirais-tu ?</t>
  </si>
  <si>
    <t>Quel est ton plus gros craquage récent ?</t>
  </si>
  <si>
    <t>Foirages</t>
  </si>
  <si>
    <t>Quelle est ta pire décision des 3 dernières années ?</t>
  </si>
  <si>
    <t>Qui serait la personne historique que tu aurais aimé rencontrer ?</t>
  </si>
  <si>
    <t>Histoire</t>
  </si>
  <si>
    <t>Quelle est la période de l'histoire qui te fascine le plus ?</t>
  </si>
  <si>
    <t>Dans quel endroit insolite as-tu déjà fait l'amour ?</t>
  </si>
  <si>
    <t>Histoires insolites</t>
  </si>
  <si>
    <t>Quelle est la chose la plus audacieuse que tu aies faite en sexe ?</t>
  </si>
  <si>
    <t>Si tu pouvais voyager dans une époque passée, laquelle choisirais-tu ?</t>
  </si>
  <si>
    <t>Historique</t>
  </si>
  <si>
    <t>Y a-t-il un moment historique qui a changé ta vie ?</t>
  </si>
  <si>
    <t>Quelle est l’émotion que tu ressens le plus souvent dans une journée ?</t>
  </si>
  <si>
    <t>Humeur</t>
  </si>
  <si>
    <t>Comment décrirais-tu ton humeur actuelle en un mot ?</t>
  </si>
  <si>
    <t>Dans ta vie actuelle, quelle est la chose que tu as idéalisée avant d'en faire l'expérience ?</t>
  </si>
  <si>
    <t>Idéalisations</t>
  </si>
  <si>
    <t>Qu'est-ce que tu espères, mais qui n'arrivera probablement jamais ?</t>
  </si>
  <si>
    <t>Comment décrirais-tu ton identité en trois mots à un inconnu ?</t>
  </si>
  <si>
    <t>Identité</t>
  </si>
  <si>
    <t>Quelle est ta première valeur, inbouggeable ?</t>
  </si>
  <si>
    <t>Qu'est-ce que tu as déjà fait d'illégal ?</t>
  </si>
  <si>
    <t>Illégal</t>
  </si>
  <si>
    <t>Si tu serais amené à faire quelque chose d'illégal, demain, qu'est-ce que ça serait ?</t>
  </si>
  <si>
    <t>a reformuler</t>
  </si>
  <si>
    <t>Qui du groupe pourrait nous surprendre avec une révélation totalement inattendue ?</t>
  </si>
  <si>
    <t>Imprévisible</t>
  </si>
  <si>
    <t>Qui du groupe est le plus mauvais joueur d'Onskoné ?</t>
  </si>
  <si>
    <t>Quel est le meilleur conseil que tu as reçu ?</t>
  </si>
  <si>
    <t>Inspiration</t>
  </si>
  <si>
    <t>Qui est le modèle dans ta vie ?</t>
  </si>
  <si>
    <t>Quelle est ta dernière question à ChatGPT ?</t>
  </si>
  <si>
    <t>Intelligence Artificielle</t>
  </si>
  <si>
    <t>Sur quel sujet utilises le plus l'IA ?</t>
  </si>
  <si>
    <t>Reformuler</t>
  </si>
  <si>
    <t>Quelle est la dernière page Internet ouverte ?</t>
  </si>
  <si>
    <t>Internet</t>
  </si>
  <si>
    <t>Quel est le site Internet que tu visites le plus ?</t>
  </si>
  <si>
    <t>Quelle est la chose qui te définit le mieux mais qu'on ne voit pas au premier regard ?</t>
  </si>
  <si>
    <t>Introversion</t>
  </si>
  <si>
    <t>Quel est l'aspect de ta personnalité que les gens découvrent le plus tard ?</t>
  </si>
  <si>
    <t>Comment tu recharges tes batteries après une grande réunion ou soirée sociale ?</t>
  </si>
  <si>
    <t>Zone de Confort</t>
  </si>
  <si>
    <t>Dans quelle situation te sens-tu le plus dans ta comfort zone ?</t>
  </si>
  <si>
    <t>Raconte une fois où ton intuition t'a sauvé d'une mauvaise situation.</t>
  </si>
  <si>
    <t>Intuition</t>
  </si>
  <si>
    <t>Dans quel domaine de ta vie tu suis le plus ton instinct ?</t>
  </si>
  <si>
    <t>Quelle est l'invention, pas encore réalisée, qui te faciliterait la vie ?</t>
  </si>
  <si>
    <t>Invention</t>
  </si>
  <si>
    <t>Quelle est la meilleure invention de tous les temps selon toi ?</t>
  </si>
  <si>
    <t>Dans quel domaine tu te surprends parfois à être jaloux/jalouse des autres ?</t>
  </si>
  <si>
    <t>Jalousie</t>
  </si>
  <si>
    <t>Quelle réussite d'un proche t'a rendu(e) fier(ère) mais aussi un peu jaloux/jalouse ?</t>
  </si>
  <si>
    <t>Quel est ton jeu de société préféré ?</t>
  </si>
  <si>
    <t>Jeux de société</t>
  </si>
  <si>
    <t>Quel est le jeu de société qui te soûle royalement ?</t>
  </si>
  <si>
    <t>Quel était ton jouet préféré ?</t>
  </si>
  <si>
    <t>Jeux d'enfance</t>
  </si>
  <si>
    <t>Quelle était ton activité préférée quand tu étais enfant ?</t>
  </si>
  <si>
    <t>Quel est ton jeu-vidéo favori ?</t>
  </si>
  <si>
    <t>Jeux-Vidéos</t>
  </si>
  <si>
    <t>Quel est ton personnage de jeux vidéos favori ?</t>
  </si>
  <si>
    <t>Si tu pouvais changer une seule loi dans ton pays, laquelle ce serait ?</t>
  </si>
  <si>
    <t>Justice</t>
  </si>
  <si>
    <t>Quelle injustice ou histoire injuste t'a le plus révolté(e) dans ta vie personnelle ?</t>
  </si>
  <si>
    <t>Quel est le fou rire dont tu te souviens encore ?</t>
  </si>
  <si>
    <t>Des barres</t>
  </si>
  <si>
    <t>Quelle est la situation de ta vie qui, avec le recul, est devenue hilarante alors qu'elle était catastrophique ?</t>
  </si>
  <si>
    <t>Quelle est la chose que tu voudrais qu'on retienne de toi après ta mort ?</t>
  </si>
  <si>
    <t>Héritage</t>
  </si>
  <si>
    <t>Si tu devais laisser une lettre à tes proches pour dans 30 ans, quel serait le premier mot ?</t>
  </si>
  <si>
    <t>Quelle tendance actuelle de société te dépasse complètement ?</t>
  </si>
  <si>
    <t>La société française</t>
  </si>
  <si>
    <t>Si tu devais décrire la société française actuelle en 3 mots, lesquels seraient-t'ils ?</t>
  </si>
  <si>
    <t>Si ce groupe devrait jouer dans un film, quel rôle tu as ?</t>
  </si>
  <si>
    <t>Vie de Groupe</t>
  </si>
  <si>
    <t>Quelle chose penses-tu sur ton voisin de droite que tu ne lui as jamais dite en face ?</t>
  </si>
  <si>
    <t>Quel est ton niveau en anglais/10 ?</t>
  </si>
  <si>
    <t>Duolingo</t>
  </si>
  <si>
    <t>Quelle est la langue que tu aimerais apprendre ?</t>
  </si>
  <si>
    <t>Quel moment de ta vie tu penses avoir rater, mais qui s'est révélé être une chance incroyable ?</t>
  </si>
  <si>
    <t>Le destin</t>
  </si>
  <si>
    <t>Comment imagines-tu ton destin ?</t>
  </si>
  <si>
    <t>Quelle est la réalité que tu as apprise sur la famille, que personne ne t'avait dite ?</t>
  </si>
  <si>
    <t>Leçon d'Amitié</t>
  </si>
  <si>
    <t>Quelle est la chose que tu as apprise sur l'amitié que personne ne t'avait dite ?</t>
  </si>
  <si>
    <t>Si tu écrivais ton propre épitaphe, que dirais-tu en une phrase ?</t>
  </si>
  <si>
    <t>La mort !</t>
  </si>
  <si>
    <t>Quelle serait ta façon de mourir, la plus probable en dehors de la mort naturelle ?</t>
  </si>
  <si>
    <t>Quelle compétence tu as apprise seul(e), sans jamais être formé(e), et dont tu es fier(ère) ?</t>
  </si>
  <si>
    <t>Leçons Dures</t>
  </si>
  <si>
    <t>Quelle est la leçon de vie qui t'a coûté le plus cher à apprendre ?</t>
  </si>
  <si>
    <t>Quel est ton livre préféré ?</t>
  </si>
  <si>
    <t>Lecture</t>
  </si>
  <si>
    <t>Qu'est-ce que la génération précédente a selon toi mieux géré que la tienne ?</t>
  </si>
  <si>
    <t>Les anciens</t>
  </si>
  <si>
    <t>Qui ne fait pas du tout son âge ?</t>
  </si>
  <si>
    <t>Quel est le sport ou tu as des chances d'être médaillé aux JO ?</t>
  </si>
  <si>
    <t>Les JO</t>
  </si>
  <si>
    <t>Quel est le sport le plus atypique que tu as pu voir en vrai ?</t>
  </si>
  <si>
    <t>Si tu devais expliquer à un enfant de 10 ans ce qui compte vraiment dans la vie, que lui dirais-tu ?</t>
  </si>
  <si>
    <t>La vie</t>
  </si>
  <si>
    <t>Résumes en une phrase la vie humaine</t>
  </si>
  <si>
    <t>Quel est le dernier livre que tu as lu ?</t>
  </si>
  <si>
    <t>Livres</t>
  </si>
  <si>
    <t>Quel est le livre que tu recommandes le plus souvent ?</t>
  </si>
  <si>
    <t>Si tu devais estimer le nombre de livres que tu as lus dans ta vie, c'est combien, honnêtement ?</t>
  </si>
  <si>
    <t>Quel est le loisir que tu trouves totalement surestimé ?</t>
  </si>
  <si>
    <t>Loisirs à faire</t>
  </si>
  <si>
    <t>Quel est le loisir le plus coûteux que tu aimerais essayer ?</t>
  </si>
  <si>
    <t>Quelle est l'activité que tu adores faire, mais ou tu es vraiment nul/nulle ?</t>
  </si>
  <si>
    <t>Loisirs Insolites</t>
  </si>
  <si>
    <t>Quel est le loisir le plus insolite que tu as essayé, une fois ?</t>
  </si>
  <si>
    <t>Quelle est la chose dont tu ne pourrais pas te passer dans ton logement actuel ?</t>
  </si>
  <si>
    <t>Maison</t>
  </si>
  <si>
    <t>Quelle est la pièce de ta maison dans laquelle tu passes le plus de temps, et pourquoi ?</t>
  </si>
  <si>
    <t>Quel est le plat que tu pourrais manger tous les jours ?</t>
  </si>
  <si>
    <t>Manger</t>
  </si>
  <si>
    <t>Quelle est la chose la plus étrange que tu aies mangé ?</t>
  </si>
  <si>
    <t>Quelle est la manie que tu as et dont tu sais qu'elle énerve les gens autour de toi ?</t>
  </si>
  <si>
    <t>Manies</t>
  </si>
  <si>
    <t>Quelle est la chose que tu dois absolument faire d'une certaine façon, sinon la journée commence mal ?</t>
  </si>
  <si>
    <t>Quelle chose as-tu déjà faite, ou t'y es tu intéressé, uniquement à tes propres fins pour manipuler quelqu'un ?</t>
  </si>
  <si>
    <t>Manigances</t>
  </si>
  <si>
    <t>Quelle histoire marrante peux-tu raconter, après avoir arnaqué quelqu'un gentiment ?</t>
  </si>
  <si>
    <t>Qui du groupe arrive toujours en retard ?</t>
  </si>
  <si>
    <t>Mauvais comportements</t>
  </si>
  <si>
    <t>Qui du groupe garderait son calme dans le chaos ?</t>
  </si>
  <si>
    <t>Quelle est l'erreur que tu as faite plusieurs fois avant de vraiment en tirer la leçon ?</t>
  </si>
  <si>
    <t>Leçons</t>
  </si>
  <si>
    <t>Si tu pouvais envoyer un message à la version de toi d'il y a 10 ans, que dirais-tu en une phrase ?</t>
  </si>
  <si>
    <t>Quel est ton mécanisme de défense préféré face au conflit ?</t>
  </si>
  <si>
    <t>Mécanismes</t>
  </si>
  <si>
    <t>Quelle est la trahison qui t'a mis le plus longtemps à surmonter ?</t>
  </si>
  <si>
    <t>Comment tu t'informes sur l'actualité ?</t>
  </si>
  <si>
    <t>Médias</t>
  </si>
  <si>
    <t>Quelle info récente t'a le plus surpris(e) ou choqué(e) ?</t>
  </si>
  <si>
    <t>Quel est le nom de ton(a) meilleur(e) ami(e) ?</t>
  </si>
  <si>
    <t>Meilleur Pote</t>
  </si>
  <si>
    <t>Depuis combien d'années connais-tu ton meilleur ami ?</t>
  </si>
  <si>
    <t>Quel est le souvenir le plus ancien dont tu te souviennes avec précision ?</t>
  </si>
  <si>
    <t>Mémoire</t>
  </si>
  <si>
    <t>Quelle est la chose que tu oublies systématiquement, peu importe tes efforts ?</t>
  </si>
  <si>
    <t>Quelle célébrité mériterait plus de reconnaissance ?</t>
  </si>
  <si>
    <t>Mes favs</t>
  </si>
  <si>
    <t>Qui est ta célébrité favorite ?</t>
  </si>
  <si>
    <t>Quel est le métier que tu imagines faire dans 10 ans ?</t>
  </si>
  <si>
    <t>Métier</t>
  </si>
  <si>
    <t>À partir de quel salaire mensuel te sentirais-tu vraiment à l'aise ?</t>
  </si>
  <si>
    <t>Quel est le moment sportif qui t’a le plus marqué en tant que spectateur ?</t>
  </si>
  <si>
    <t>Moment</t>
  </si>
  <si>
    <t>Quel moment anodin s'est révélé être plus marquant avec le temps ?</t>
  </si>
  <si>
    <t>Quel est le souvenir le plus marquant que tu gardes de tes années lycée ?</t>
  </si>
  <si>
    <t>Moments marquants</t>
  </si>
  <si>
    <t>Quel est ton plus beau souvenir de fête ou de soirée ?</t>
  </si>
  <si>
    <t>Quel est le mot que tu utilises trop souvent ?</t>
  </si>
  <si>
    <t>Mots du quotidien</t>
  </si>
  <si>
    <t>Quel est le mot que tu détestes entendre ?</t>
  </si>
  <si>
    <t>Quel est ton gros mot le plus utilisé ?</t>
  </si>
  <si>
    <t>Mots spécifiques</t>
  </si>
  <si>
    <t>Quel est pour toi le mot le plus beau de la langue française ?</t>
  </si>
  <si>
    <t>Quel est ton musicien/groupe de musique préféré ?</t>
  </si>
  <si>
    <t>Musique</t>
  </si>
  <si>
    <t>Quel est l'instrument de musique que tu rêverais d'apprendre ?</t>
  </si>
  <si>
    <t>Si tu devais disparaître de ta vie actuelle pour 6 mois sans que personne ne sache où tu es, que ferais-tu ?</t>
  </si>
  <si>
    <t>Liberté</t>
  </si>
  <si>
    <t>Si tu devais recommencer ta vie à 18 ans en ne gardant que tes souvenirs actuels, que ferais-tu différemment ?</t>
  </si>
  <si>
    <t>Quelle est la chose la plus embarrassante que tu aies faite récemment ?</t>
  </si>
  <si>
    <t>Genance</t>
  </si>
  <si>
    <t>Qu'est-ce que tu trouves le plus gênant ?</t>
  </si>
  <si>
    <t>Quelle est la pire excuse que tu aies inventée pour te sortir d’un mauvais pas ?</t>
  </si>
  <si>
    <t>Gros mythos</t>
  </si>
  <si>
    <t>Quel est le mensonge le plus crédible que tu aies déjà raconté ?</t>
  </si>
  <si>
    <t>Si tu devais vivre dans un environnement naturel précis (montagne, mer, forêt, désert…), lequel choisirais-tu ?</t>
  </si>
  <si>
    <t>Nature</t>
  </si>
  <si>
    <t>Quel phénomène naturel t'a le plus impressionné dans ta vie ?</t>
  </si>
  <si>
    <t>Quelle est l'activité en pleine nature que tu n'as jamais faite mais qui te fait rêver ?</t>
  </si>
  <si>
    <t>Sorties nature</t>
  </si>
  <si>
    <t>Quel paysage naturel du monde te fait rêver ?</t>
  </si>
  <si>
    <t>Quelle est la chose la plus immature que tu fais encore ?</t>
  </si>
  <si>
    <t>Mauvaises habitudes</t>
  </si>
  <si>
    <t>Quelle a été ta pire addiction ?</t>
  </si>
  <si>
    <t>Quelle est l'odeur qui te ramène instantanément à un souvenir précis ?</t>
  </si>
  <si>
    <t>Nostalgie</t>
  </si>
  <si>
    <t>Qu'est-ce que tu faisais souvent avant, mais plus maintenant, et heureusement ?</t>
  </si>
  <si>
    <t>Quel est l'activité que tu aies jamais fait, depuis le temps que t'en parles ?</t>
  </si>
  <si>
    <t>Nouvelles Activités</t>
  </si>
  <si>
    <t>Quelle est l'activité la plus extrême que tu serais capable de faire ?</t>
  </si>
  <si>
    <t>Qu'est-ce que tu fais quand tu n'arrives pas à dormir à 3h du matin ?</t>
  </si>
  <si>
    <t>Insomnie</t>
  </si>
  <si>
    <t>Quel est le meilleur souvenir de nuit blanche que tu aies vécu ?</t>
  </si>
  <si>
    <t>Quel exploit physique voudrais-tu être capable de faire ?</t>
  </si>
  <si>
    <t>Objectifs sportifs</t>
  </si>
  <si>
    <t>Quel est ton plus grand objectif dans la vie ?</t>
  </si>
  <si>
    <t>Objectifs</t>
  </si>
  <si>
    <t>Quel aspect de toi aimerais-tu améliorer cette année ?</t>
  </si>
  <si>
    <t>Qu'est-ce que tu veux changer cette année ?</t>
  </si>
  <si>
    <t>Quel est l’objectif que tu t’es fixé 10 fois mais que tu n’as jamais réussi à tenir ?</t>
  </si>
  <si>
    <t>Objectifs Jamais Tenus</t>
  </si>
  <si>
    <t>Quelle est la décision que tu continues à remettre à demain depuis trop longtemps ?</t>
  </si>
  <si>
    <t>Quel est l'objet le plus étrange que tu possèdes ?</t>
  </si>
  <si>
    <t>Objets Bizarres</t>
  </si>
  <si>
    <t>Quel est l'objet le plus inutile que tu possèdes chez toi, mais que tu refuses d'abandonner ?</t>
  </si>
  <si>
    <t>Si tu devrais survivre la journée avec un seul objet (hors portable), que choisis-tu ?</t>
  </si>
  <si>
    <t>Objets du Quotidien</t>
  </si>
  <si>
    <t>Quel est l'objet du quotidien, que tout le monde utilise, dont tu n'as jamais saisi l'utilité ?</t>
  </si>
  <si>
    <t>Quelle odeur tu ne supportes pas ?</t>
  </si>
  <si>
    <t>Odeur</t>
  </si>
  <si>
    <t>Quelle est la plus belle odeur du monde pour toi ?</t>
  </si>
  <si>
    <t>Qui est-ce que tu n'aimes pas mais que tu n'oses pas avouer (sauf maintenant) ?</t>
  </si>
  <si>
    <t>On s'en doutait pas</t>
  </si>
  <si>
    <t>Qui est-ce que vous aimez bien mais que vous n'osez pas avouer (sauf maintenant) ?</t>
  </si>
  <si>
    <t>Qu'est-ce que tu as regretté de faire, récemment ?</t>
  </si>
  <si>
    <t>Pardon</t>
  </si>
  <si>
    <t>Quelle est la chose pour laquelle tu n'as jamais vraiment demandé pardon mais que tu aurais dû ?</t>
  </si>
  <si>
    <t>Quel est le talent ou la particularité propre à un de tes parents, et dont tu as hérité sans le choisir ?</t>
  </si>
  <si>
    <t>Transmission</t>
  </si>
  <si>
    <t>Qu'est-ce que tu aimerais transmettre à tes enffants ?</t>
  </si>
  <si>
    <t>Education</t>
  </si>
  <si>
    <t>Quelle serait ta règle d'or si tu étais parent ?</t>
  </si>
  <si>
    <t>Quel est le principal point commun avec ta fratrie ?</t>
  </si>
  <si>
    <t>Si tu avais une fille demain, quel prénom lui donnerais-tu ?</t>
  </si>
  <si>
    <t>Parents</t>
  </si>
  <si>
    <t>Si tu avais un garçon demain, quel prénom lui donnerais-tu ?</t>
  </si>
  <si>
    <t>Quel est le pays qui ne te fait PAS DU TOUT envie ?</t>
  </si>
  <si>
    <t>Pays</t>
  </si>
  <si>
    <t>Si tu pouvais faire un road trip d'un mois, quel pays choisirais-tu ?</t>
  </si>
  <si>
    <t>Quel est le plus gros objet que tu aies perdu ?</t>
  </si>
  <si>
    <t>Perte</t>
  </si>
  <si>
    <t>Dans quoi dépenses-tu le plus d'argent inutilement ?</t>
  </si>
  <si>
    <t>Quelle est la chose qui te rend immédiatement heureux ?</t>
  </si>
  <si>
    <t>Petits Plaisirs</t>
  </si>
  <si>
    <t>Quel est ton moment préféré de la journée ?</t>
  </si>
  <si>
    <t>Quelle est ta plus grande peur ?</t>
  </si>
  <si>
    <t>Peurs</t>
  </si>
  <si>
    <t>Quel est le lieu ou l’endroit qui te met le plus mal à l'aise ?</t>
  </si>
  <si>
    <t>Quelle est la tenue dans laquelle tu te sens vraiment toi-même à 100% ?</t>
  </si>
  <si>
    <t>Mode</t>
  </si>
  <si>
    <t>Pour toi, quelle personne qui a le plus de style et à que tu aimerais ressembler ?</t>
  </si>
  <si>
    <t>Quelle est la photo sur ton téléphone que tu n'arriveras jamais à supprimer, et pourquoi ?</t>
  </si>
  <si>
    <t>Photo</t>
  </si>
  <si>
    <t>Si tu devais capturer ta vie en une seule photo aujourd'hui, quelle scène montrerais-tu ?</t>
  </si>
  <si>
    <t>Qui serait le plus fort du groupe dans une baston ?</t>
  </si>
  <si>
    <t>Le +</t>
  </si>
  <si>
    <t>Qui est le meilleur pour solidifer et rassembler ce groupe ?</t>
  </si>
  <si>
    <t>Quel est ton fruit préféré ?</t>
  </si>
  <si>
    <t>Gouts</t>
  </si>
  <si>
    <t>Quel est l'aliment/repas que tu détestes le plus ?</t>
  </si>
  <si>
    <t>Quel a été le plus beau moment de ta vie jusqu'à présent ?</t>
  </si>
  <si>
    <t>Plus Beau Moment</t>
  </si>
  <si>
    <t>A quel moment de ta vie penses-tu souvent en ce moment ?</t>
  </si>
  <si>
    <t>Si tu animais ton propre podcast, quel en serait le sujet et le nom ?</t>
  </si>
  <si>
    <t>Podcast</t>
  </si>
  <si>
    <t>Quel podcast ou émission audio t'a le plus appris quelque chose en dehors de l'école ?</t>
  </si>
  <si>
    <t>Quel serait le mot pour surnommer tout ce groupe ?</t>
  </si>
  <si>
    <t>Points communs</t>
  </si>
  <si>
    <t>Quel est le plus grand point commun entre les membres de ce groupe ?</t>
  </si>
  <si>
    <t>Pour qui as-tu voté aux dernières élections présidentielles ?</t>
  </si>
  <si>
    <t>Politique</t>
  </si>
  <si>
    <t>Pour qui tu voterais aux prochaines élections présidentielles ?</t>
  </si>
  <si>
    <t>Sur quelle application portable passes-tu le plus de temps inutilement ?</t>
  </si>
  <si>
    <t>Portable</t>
  </si>
  <si>
    <t>Dessines l'emoji que tu utilises le plus ?</t>
  </si>
  <si>
    <t>Quelle est ta position préférée au lit ?</t>
  </si>
  <si>
    <t>Position &amp; Positions</t>
  </si>
  <si>
    <t>Quelle est l'activité sexuelle que tu n'oseras jamais faire ?</t>
  </si>
  <si>
    <t>Si tu pouvais lire dans les pensées d'une seule personne, qui choisirais-tu ?</t>
  </si>
  <si>
    <t>Pensées</t>
  </si>
  <si>
    <t>Quel est ton plus gros mensonge récent ?</t>
  </si>
  <si>
    <t>Mythos</t>
  </si>
  <si>
    <t>Quel est le sport ou tu es vraiment le pire, malgré tous tes efforts ?</t>
  </si>
  <si>
    <t>Pratique sportive</t>
  </si>
  <si>
    <t>Quel est le sport que tu pratiques ou as pratiqué le plus longtemps dans ta vie ?</t>
  </si>
  <si>
    <t>Quel prénom détestes-tu ?</t>
  </si>
  <si>
    <t>Prénoms</t>
  </si>
  <si>
    <t>Quel prénom trouves-tu le plus stylé ?</t>
  </si>
  <si>
    <t>Quel est le prénom que l'on utilise le moins de toi ?</t>
  </si>
  <si>
    <t>Ton prénom</t>
  </si>
  <si>
    <t>Si tu devais changer de prénom, lequel choisirais-tu ?</t>
  </si>
  <si>
    <t>Quel est le métier imaginaire ou fictif que tu aurais adoré faire ?</t>
  </si>
  <si>
    <t>Professions idéales</t>
  </si>
  <si>
    <t>Quelle est l'entreprise de rêve ou tu aimerais travailler ?</t>
  </si>
  <si>
    <t>Si tu pouvais prendre 3 mois sabbatiques demain, comment les passerais-tu ?</t>
  </si>
  <si>
    <t>Profondeur</t>
  </si>
  <si>
    <t>Quelle est la chose que tu fais chaque jour qui va vraiment dans le sens de tes valeurs ?</t>
  </si>
  <si>
    <t>Quelle a été ta pire excuse pour annuler un plan ?</t>
  </si>
  <si>
    <t>Quelle est la chose pour laquelle tu négocies le mieux ?</t>
  </si>
  <si>
    <t>Négociation</t>
  </si>
  <si>
    <t>Si tu pouvais instantanément maîtriser un sujet, lequel choisirais-tu ?</t>
  </si>
  <si>
    <t>Construction</t>
  </si>
  <si>
    <t>Si tu avais un budget et personne pour te juger, quel projet lancerais-tu ?</t>
  </si>
  <si>
    <t>Projets</t>
  </si>
  <si>
    <t>Quel est le projet que tu portes en tête depuis longtemps mais que tu n'as pas encore lancé ?</t>
  </si>
  <si>
    <t>Quelle est la chose que tu as construite, créée ou accomplie seul(e) dont tu es le plus fier(ère) ?</t>
  </si>
  <si>
    <t>Quelle est la qualité que tu valorises le plus chez un ami ?</t>
  </si>
  <si>
    <t>Qualités</t>
  </si>
  <si>
    <t>Quelle est la première qualité qu'on te reconnait ?</t>
  </si>
  <si>
    <t>Y a-t-il une qualité que tu pensais avoir, mais que tu as fini par remettre en question ?</t>
  </si>
  <si>
    <t>Qualités en Question</t>
  </si>
  <si>
    <t>Quelle qualité as-tu développée avec le temps et l’expérience ?</t>
  </si>
  <si>
    <t>Quel est le défaut physique que tu ne supportes/supporterais pas chez un partenaire ?</t>
  </si>
  <si>
    <t>Qualités &amp; Défauts</t>
  </si>
  <si>
    <t>La qualité physique que tu recherche ou apprécie le plus chez un partenaire ?</t>
  </si>
  <si>
    <t>Quel est le 1er défaut qui te vient à l'esprit vis-à-vis de ton voisin de droite ?</t>
  </si>
  <si>
    <t>Jugement</t>
  </si>
  <si>
    <t>Quelle est la 1ère qualité qui te vient à l'esprit vis-à-vis de ton voisin de droite ?</t>
  </si>
  <si>
    <t>Quelle est la dernière fois où tu as réussi à convaincre quelqu'un de changer d'avis ?</t>
  </si>
  <si>
    <t>Quelle citation ou phrase te motive le plus ?</t>
  </si>
  <si>
    <t>Philosophie</t>
  </si>
  <si>
    <t>Quel est le temps idéal d'un rapport selon toi ?</t>
  </si>
  <si>
    <t>Rapport</t>
  </si>
  <si>
    <t>Quel a été ton rapport le plus long ?</t>
  </si>
  <si>
    <t>Quelle philosophie te correspond le plus ?</t>
  </si>
  <si>
    <t>Quelle pensée chelou as-tu eu aujourd'hui ?</t>
  </si>
  <si>
    <t>A reformuler</t>
  </si>
  <si>
    <t>Quelle est la recette que tu as ratée spectaculairement au moins une fois ?</t>
  </si>
  <si>
    <t>Recettes de cuisine</t>
  </si>
  <si>
    <t>Quelle est ta recette signature ?</t>
  </si>
  <si>
    <t>Quelle est la relation que tu as réussi à récupérer après une embrouille ?</t>
  </si>
  <si>
    <t>Réconciliation</t>
  </si>
  <si>
    <t>Y a-t-il une personne avec qui tu aimerais te réconcilier mais dont tu n'as pas encore fait le premier pas ?</t>
  </si>
  <si>
    <t>Si tu pouvais avoir la réponse à une seule question sur l'univers, ce serait laquelle ?</t>
  </si>
  <si>
    <t>Questions Existentielles</t>
  </si>
  <si>
    <t>Si tu devais réduire le sens de ta vie à une seule phrase, ce serait quoi ?</t>
  </si>
  <si>
    <t>Est-ce que tu vis plutôt dans le passé, le présent ou le futur ?</t>
  </si>
  <si>
    <t>Rapport au temps</t>
  </si>
  <si>
    <t>Quelle est la période de ta vie où le temps passait le plus vite, et pourquoi ?</t>
  </si>
  <si>
    <t>As-tu un endroit secret ou spécial où tu aimes aller pour réfléchir ?</t>
  </si>
  <si>
    <t>Réflexions</t>
  </si>
  <si>
    <t>Quelle relation passée t'a le plus appris sur ce que tu mérites vraiment ?</t>
  </si>
  <si>
    <t>Quel est le truc que tu fais uniquement parce que tu en as envie, sans te justifier ?</t>
  </si>
  <si>
    <t>Regard des autres</t>
  </si>
  <si>
    <t>Quelle est la chose que tu as faite par peur du regard des autres, et que tu regrettes ?</t>
  </si>
  <si>
    <t>Quel est ton dernier post sur les réseaux ?</t>
  </si>
  <si>
    <t>Réseaux</t>
  </si>
  <si>
    <t>Quelle est la personne que tu suis sur les réseaux et que tu n'assumes pas vraiment ?</t>
  </si>
  <si>
    <t>Quel est ton réseau social préféré ?</t>
  </si>
  <si>
    <t>Réseaux sociaux</t>
  </si>
  <si>
    <t>Quelle est ta chaîne Youtube préférée ?</t>
  </si>
  <si>
    <t>La personne qui vous ressemble le plus physiquement dans la famille ?</t>
  </si>
  <si>
    <t>Ressemblances</t>
  </si>
  <si>
    <t>Le personne qui vous ressemble le plus en terme de caractère dans la famille ?</t>
  </si>
  <si>
    <t>Quel est ton restaurant préféré ?</t>
  </si>
  <si>
    <t>Restaurants</t>
  </si>
  <si>
    <t>Qu'est-ce que tu as envie de manger, là, à l'instant T ?</t>
  </si>
  <si>
    <t>Quel est le plus gros défi que tu as relevé ?</t>
  </si>
  <si>
    <t>Réussites</t>
  </si>
  <si>
    <t>Quelle est ta plus grande réussite de cette année ?</t>
  </si>
  <si>
    <t>Si tu devais emprunter la garde-robe de quelqu'un du groupe pour une semaine, qui choisirais-tu ?</t>
  </si>
  <si>
    <t>Révélations du Groupe</t>
  </si>
  <si>
    <t>Qui du groupe te surprendrait le plus si tu apprenais qu'il/elle cache un talent artistique ?</t>
  </si>
  <si>
    <t>As-tu déjà eu un rêve tellement réel que tu as mis du temps à réaliser que c'en était un ?</t>
  </si>
  <si>
    <t>Réel</t>
  </si>
  <si>
    <t>Dans quel moment es-tu le plus ancré dans la réalité, tu VIS quoi</t>
  </si>
  <si>
    <t>a CHIER</t>
  </si>
  <si>
    <t>Quel rêve récurrent as-tu, et que penses-tu qu'il signifie ?</t>
  </si>
  <si>
    <t>Rêves</t>
  </si>
  <si>
    <t>Si tu pouvais programmer un rêve ce soir, quel serait-il ?</t>
  </si>
  <si>
    <t>Le métier que tu rêvais de faire étant enfant ?</t>
  </si>
  <si>
    <t>Rêves de gosse</t>
  </si>
  <si>
    <t>Quel était le premier but de ta vie quand tu étais enfant ?</t>
  </si>
  <si>
    <t>Quel est le pays que tu rêves de visiter ?</t>
  </si>
  <si>
    <t>Rêves de voyages</t>
  </si>
  <si>
    <t>Quel est le lieu le plus impressionnant que tu aies déjà visité ?</t>
  </si>
  <si>
    <t>Qu'est-ce que tu voudrais avoir actuellement, et que tu n'as pas ?</t>
  </si>
  <si>
    <t>Risques</t>
  </si>
  <si>
    <t>Quel est le plus gros risque que tu aies pris, en te disant que la chance serait de ton côté ?</t>
  </si>
  <si>
    <t>Quel est ton rituel idéal après une longue journée ?</t>
  </si>
  <si>
    <t>Rituels du Soir</t>
  </si>
  <si>
    <t>Quel est ton rituel avant d'aller dormir ?</t>
  </si>
  <si>
    <t>Si tu devais créer une playlist pour un road trip, quelle serait la première chanson ?</t>
  </si>
  <si>
    <t>Rituels de Voyage</t>
  </si>
  <si>
    <t>Quelle est la chose que tu fais systématiquement dans chaque nouveau pays que tu visites ?</t>
  </si>
  <si>
    <t>Quelle habitude de santé tu sais que tu devrais adopter mais que tu repousses indéfiniment ?</t>
  </si>
  <si>
    <t>Santé</t>
  </si>
  <si>
    <t>Quelle est ta tolérance à la douleur ?</t>
  </si>
  <si>
    <t>Pépins</t>
  </si>
  <si>
    <t>Quelle est la chose la plus ridicule pour laquelle tu t'es retrouvé(e) aux urgences ou chez le médecin ?</t>
  </si>
  <si>
    <t>De quelle façon tu te te parles à toi même quand tu rates quelque chose ?</t>
  </si>
  <si>
    <t>Quelle est la chose que tu fais pour prendre soin de ta santé mentale ?</t>
  </si>
  <si>
    <t>Santé mentale</t>
  </si>
  <si>
    <t>Décris ton état de santé mentale en un mot</t>
  </si>
  <si>
    <t>Quelle est ta scène de film préférée ?</t>
  </si>
  <si>
    <t>Scènes de films</t>
  </si>
  <si>
    <t>Si tu pouvais vivre dans un film, lequel choisirais-tu ?</t>
  </si>
  <si>
    <t>À qui du groupe ferais-tu le plus confiance pour garder un secret absolument inavouable ?</t>
  </si>
  <si>
    <t>Secret du Groupe</t>
  </si>
  <si>
    <t>Quelle est la personne au sein du groupe, qui te connaît le mieux, le vrai toi ?</t>
  </si>
  <si>
    <t>Quelle est ta série préférée de tous les temps ?</t>
  </si>
  <si>
    <t>Série favorite</t>
  </si>
  <si>
    <t>Quel est ton record d'épisodes vus à la suite, en binge-watching ?</t>
  </si>
  <si>
    <t>Netflix &amp; Chill</t>
  </si>
  <si>
    <t>Quelle est la série que tu n'as jamais fini ?</t>
  </si>
  <si>
    <t>Quelle série tu as le plus recommandé au cours de ta vie, aux autres ?</t>
  </si>
  <si>
    <t>Quelle personne détestes-tu secrètement, et que peu de monde est au courant ?</t>
  </si>
  <si>
    <t>Sérieux ?</t>
  </si>
  <si>
    <t>Quelle est la chose la plus honteuse dans ton téléphone ?</t>
  </si>
  <si>
    <t>Comment tu gères les silences gênants ?</t>
  </si>
  <si>
    <t>Silences &amp; Émotions</t>
  </si>
  <si>
    <t>Quelle émotion tu as le plus de mal à exprimer en présence des autres ?</t>
  </si>
  <si>
    <t>Quelle est la situation la plus embarrassante que tu aies vécue dans un contexte romantique ou intime ?</t>
  </si>
  <si>
    <t>Situations délicates</t>
  </si>
  <si>
    <t>A quel moment étais-tu excitée), alors que tu ne devais surtout pas l'être ?</t>
  </si>
  <si>
    <t>Quelle est la chose que tu fais systématiquement quand tu veux que quelqu'un se sente à l'aise ?</t>
  </si>
  <si>
    <t>Social</t>
  </si>
  <si>
    <t>Quelle excuse utilises-tu le plus souvent pour décliner une invitation et t'en sentir un peu moins coupable ?</t>
  </si>
  <si>
    <t>Quel est ton plus grand regret dans la vie ?</t>
  </si>
  <si>
    <t>Regrets</t>
  </si>
  <si>
    <t>Si tu pouvais effacer un souvenir de ta mémoire, lequel ce serait ?</t>
  </si>
  <si>
    <t>Si tu pouvais inviter 1 célébrité à une soirée, qui choisirais-tu ?</t>
  </si>
  <si>
    <t>Soirée</t>
  </si>
  <si>
    <t>Quel est l’élément indispensable pour une soirée réussie ?</t>
  </si>
  <si>
    <t>Quelle est la fois ou j'ai surpris tout le monde ?</t>
  </si>
  <si>
    <t>Surprises</t>
  </si>
  <si>
    <t>Quelle est la plus belle des surprises que tu as eu ?</t>
  </si>
  <si>
    <t>Quel est le meilleur souvenir que tu as avec ce groupe ?</t>
  </si>
  <si>
    <t>Souvenirs de groupe</t>
  </si>
  <si>
    <t>Quel moment de groupe, ou tu n'étais pas là justement, tu aurais aimé être là pour le vivre ?</t>
  </si>
  <si>
    <t>Quelle est la meilleure rencontre que tu aies faite en voyage ?</t>
  </si>
  <si>
    <t>Souvenirs de voyage</t>
  </si>
  <si>
    <t>Quel est le moyen de transport le plus insolite que tu aies pris pour voyager ?</t>
  </si>
  <si>
    <t>Quelle est la limite que tu as mis du temps à apprendre à poser dans tes relations ?</t>
  </si>
  <si>
    <t>Relations</t>
  </si>
  <si>
    <t>Comment tu détectes qu'une relation (amicale ou amoureuse) n'est plus bonne pour toi ?</t>
  </si>
  <si>
    <t>Si tu devais t'initier (ou changer) de religion, laquelle choisirais-tu ?</t>
  </si>
  <si>
    <t>Religion</t>
  </si>
  <si>
    <t>As-tu un rituel ou une pratique spirituelle, même discret(e), que tu t'accordes ?</t>
  </si>
  <si>
    <t>Quelle blessure sportive ou physique t'a laissé le plus de souvenirs ?</t>
  </si>
  <si>
    <t>Sport pratique</t>
  </si>
  <si>
    <t>Si tu devais t'inscrire à une compétition sportive demain, laquelle choisirais-tu ?</t>
  </si>
  <si>
    <t>Quel comportement adaptes-tu face à la pression ?</t>
  </si>
  <si>
    <t>Stress</t>
  </si>
  <si>
    <t>Quel est le moment ou l'action anodine du quotidien qui te stresse ?</t>
  </si>
  <si>
    <t>Si tu devais incarner un superhéros, quel serait son nom ?</t>
  </si>
  <si>
    <t>Superpouvoirs</t>
  </si>
  <si>
    <t>Si tu pouvais avoir un super-pouvoir, lequel choisirais-tu ?</t>
  </si>
  <si>
    <t>Si vous deviez choisir un surnom pour vous-même, lequel choisirez-vous ?</t>
  </si>
  <si>
    <t>Surnoms</t>
  </si>
  <si>
    <t>Quel est le surnom le plus atypique qu'on t'a déjà donné ?</t>
  </si>
  <si>
    <t>Si tu devais représenter ta personnalité par un seul objet, lequel choisirais-tu ?</t>
  </si>
  <si>
    <t>Symbole</t>
  </si>
  <si>
    <t>Quel est ton objet porte-bonheur ?</t>
  </si>
  <si>
    <t>Quelle est la rencontre la plus imprévue que tu aies faite ?</t>
  </si>
  <si>
    <t>Rencontres imprévues</t>
  </si>
  <si>
    <t>Quelle est la conversation la plus marquante que tu aies eue avec un inconnu ?</t>
  </si>
  <si>
    <t>Si ta vie était un film, quelle chanson en serait le générique ?</t>
  </si>
  <si>
    <t xml:space="preserve">Ta vie </t>
  </si>
  <si>
    <t>Quelle est la chanson qui décrit le mieux ta personnalité ?</t>
  </si>
  <si>
    <t>Quel est le sujet tabou dont tu préfères ne pas aborder avec le groupe ?</t>
  </si>
  <si>
    <t>Tabous</t>
  </si>
  <si>
    <t>Dis une phrase qui peut faire vriller ton voisin de gauche</t>
  </si>
  <si>
    <t>Si tu pouvais éliminer une corvée pour toujours, laquelle choisirais-tu ?</t>
  </si>
  <si>
    <t>Par défaut</t>
  </si>
  <si>
    <t>Qui du groupe serait le meilleur mentor pour les autres ?</t>
  </si>
  <si>
    <t>Talents du Groupe</t>
  </si>
  <si>
    <t>Qui du groupe pourrait t'apprendre quelque chose d'utile ? C'est le moment de demander de l'aide</t>
  </si>
  <si>
    <t>Si tu devais te faire tatouer une seule chose, ce serait quoi et où ?</t>
  </si>
  <si>
    <t>Tatouage et Accessoires</t>
  </si>
  <si>
    <t>Pour quelle somme te fais-tu un tatouage obscène sur le bras ?</t>
  </si>
  <si>
    <t>Pas du tout inspiré wlh</t>
  </si>
  <si>
    <t>Quel est l’appareil high-tech dont tu ne pourrais plus te passer ?</t>
  </si>
  <si>
    <t>Tech Indispensable</t>
  </si>
  <si>
    <t>Quelle est la technologie que tu aimerais voir un jour ?</t>
  </si>
  <si>
    <t>Quel serait le titre de ton émission de téléréalité si ta vie était filmée 24h/24 ?</t>
  </si>
  <si>
    <t>Téléréalité</t>
  </si>
  <si>
    <t>Si tu devais être interviewé(e) sur un plateau pour une bêtise que tu as faite, laquelle ce serait ?</t>
  </si>
  <si>
    <t>Quel est le moment dans ta vie où tu as le plus ressenti quelque chose de 'mystérieux' ou inexplicable ?</t>
  </si>
  <si>
    <t>Spiritualité</t>
  </si>
  <si>
    <t>Quel est le phénomène le plus étrange auquel tu as assisté ?</t>
  </si>
  <si>
    <t>Avec qui du groupe est-tu le plus susceptible de t'embrouiller ?</t>
  </si>
  <si>
    <t>Tensions</t>
  </si>
  <si>
    <t>Quel dernier moment ou évènement du groupe n'as-tu pas apprécié, et que tu n'as toujours pas digéré ?</t>
  </si>
  <si>
    <t>Si tu pouvais transformer une de tes passions en métier, laquelle serait-ce ?</t>
  </si>
  <si>
    <t>Tes Passions</t>
  </si>
  <si>
    <t>Quel est ton passe-temps favori ?</t>
  </si>
  <si>
    <t>Quel trait de personnalité te fait craquer direct ?</t>
  </si>
  <si>
    <t>Séduction</t>
  </si>
  <si>
    <t>Comment devrait-on s'y prendre pour te montrer que tu nous plais ?</t>
  </si>
  <si>
    <t>Quelle note te mettrais-tu sur 10 en terme de beauté ?</t>
  </si>
  <si>
    <t>Ton Look &amp; Beauté</t>
  </si>
  <si>
    <t>Sur quel style de vêtement que tu portes, ou apparence physique, t'a-t-on le + complimenté ?</t>
  </si>
  <si>
    <t>Quelle tradition familiale tu transmettras absolument à tes enfants ?</t>
  </si>
  <si>
    <t>Traditions Familiales</t>
  </si>
  <si>
    <t>De quelle tradition de famille, maintenant un peu désuète, es-tu nostalgique ?</t>
  </si>
  <si>
    <t>Si tu pouvais choisir de tout savoir sur ton futur ou ne rien savoir du tout, que préfères-tu ?</t>
  </si>
  <si>
    <t>Temps et toi</t>
  </si>
  <si>
    <t>Si tu étais un jour de la semaine, lequel serais-tu et pourquoi ?</t>
  </si>
  <si>
    <t>Quel est le moyen de transport que tu as le plus emprunté dans ta vie?</t>
  </si>
  <si>
    <t>Si tu pouvais posséder une voiture sans limite de budget, laquelles choisirais-tu ?</t>
  </si>
  <si>
    <t>Transports</t>
  </si>
  <si>
    <t>Quel est le transport que tu aimerais tester au moins une fois dans ta vie ?</t>
  </si>
  <si>
    <t>Quelle est ta date de naissance (Date &amp; mois) ?</t>
  </si>
  <si>
    <t>Trivia</t>
  </si>
  <si>
    <t>Quelle sont ta couleur et ton nombre fétiches ? Exemple : Bleu/7</t>
  </si>
  <si>
    <t>Quelle est la chose la plus insolite que tu aies trouvée (par hasard) ?</t>
  </si>
  <si>
    <t>Par hasard</t>
  </si>
  <si>
    <t>Qu'est-ce qui t'es arrivé de plus improbable ?</t>
  </si>
  <si>
    <t>Quelle est l'émission TV que tu préfères ?</t>
  </si>
  <si>
    <t>TV</t>
  </si>
  <si>
    <t>Combien de temps passes-tu en moyenne par semaine, devant la télé ?</t>
  </si>
  <si>
    <t>Quel type de film refuses-tu catégoriquement de regarder ?</t>
  </si>
  <si>
    <t>Type de films</t>
  </si>
  <si>
    <t>Si ta vie était un film, de quel type serait-elle ? (Horreur, Comédie, Drame, Aventure, Thriller etc.)</t>
  </si>
  <si>
    <t>Quel est l’objet indispensable que tu emportes toujours en vacances  ?</t>
  </si>
  <si>
    <t>Vacances</t>
  </si>
  <si>
    <t>Quel est le type de vacances que tu préfères ?</t>
  </si>
  <si>
    <t>Quelle rencontre a le plus changé ta trajectoire de vie ?</t>
  </si>
  <si>
    <t>Trajectoire de vie</t>
  </si>
  <si>
    <t>Ou te trouveras-tu dans 10 ans ? En 3 mots</t>
  </si>
  <si>
    <t>Quelle est ta petite victoire du quotidien qui te rend irrationnellement fier(e) ?</t>
  </si>
  <si>
    <t>Victoires</t>
  </si>
  <si>
    <t>Quelle habitude as-tu réussi à mettre en place récemment après plusieurs tentatives ?</t>
  </si>
  <si>
    <t>Dans combien de villes différentes as-tu habitées dans ta vie ?</t>
  </si>
  <si>
    <t>Villes</t>
  </si>
  <si>
    <t>Quelle ville a le plus marqué ta trajectoire de vie ?</t>
  </si>
  <si>
    <t>Quel est le scénario du futur que tu espères le plus ?</t>
  </si>
  <si>
    <t>Vision à Long Terme</t>
  </si>
  <si>
    <t>Dans 30 ans, comment tu aimerais que les gens qui te connaissent aujourd'hui te décrivent ?</t>
  </si>
  <si>
    <t>Si tu pouvais voyager dans le temps, quelle époque choisirais-tu de visiter et pourquoi ?</t>
  </si>
  <si>
    <t>Voyages insolites</t>
  </si>
  <si>
    <t>Quelle était l'expérience de voyage la plus bizarre que tu aies faite ?</t>
  </si>
  <si>
    <t>Quelle est la vérité que tu gardes pour toi parce que tu sais qu'elle ferait mal à entendre ?</t>
  </si>
  <si>
    <t>Vérités</t>
  </si>
  <si>
    <t>Quelle vérité sur toi-même tu as du mal à t'avouer ?</t>
  </si>
  <si>
    <t>Combien de vraies amitiés de plus de 10 ans as-tu ?</t>
  </si>
  <si>
    <t>Amitié Durable</t>
  </si>
  <si>
    <t>Comment sais-tu qu'une amitié est faite pour durer ?</t>
  </si>
  <si>
    <t>As-tu une habitude quotidienne qui contribue à ton développement personnel ?</t>
  </si>
  <si>
    <t>Habitudes</t>
  </si>
  <si>
    <t>Quelle est l'habitude ou le tic que tout le monde remarque chez toi ?</t>
  </si>
  <si>
    <t>Si tu avais une heure de temps libre plus chaque jour, qu'en ferais-tu honnêtement ?</t>
  </si>
  <si>
    <t>Planning</t>
  </si>
  <si>
    <t>En général, de combien de blocs est composée ta journée sur l'agenda ?</t>
  </si>
  <si>
    <t>Quel est le film que tu détestes, mais que tout le monde adore ?</t>
  </si>
  <si>
    <t>Les films</t>
  </si>
  <si>
    <t>Si ta vie était un film, quel en serait le titre ?</t>
  </si>
  <si>
    <t>Biopic</t>
  </si>
  <si>
    <t>Quelle personne célèbre selon toi devrait absolument sortir une biopic, et tu serais le 1er à le voir ?</t>
  </si>
  <si>
    <t>Quel est le film le plus atypique qui t'a fait pleurer ?</t>
  </si>
  <si>
    <t>En dehors de ton domicile, où tu te sens le plus chez toi ?</t>
  </si>
  <si>
    <t>Lieu</t>
  </si>
  <si>
    <t>Si tu pouvais vivre dans un lieu fictif, lequel choisirais-tu?</t>
  </si>
  <si>
    <t>Lieu fictif</t>
  </si>
  <si>
    <t>Quel lieu fictif (film, série, livre, jeux-vidéo) te ferait le plus peur à visiter ?</t>
  </si>
  <si>
    <t>Dans quel lieu très commun tu n'es jamais allé ?</t>
  </si>
  <si>
    <t>Quelle a été ta pire journée de travail ou stage, et qu'est-ce qui s'est passé ?</t>
  </si>
  <si>
    <t>Au travail</t>
  </si>
  <si>
    <t>Si tu pouvais changer un truc dans ta vie professionnelle actuelle, ce serait quoi ?</t>
  </si>
  <si>
    <t>Situation professionnelle</t>
  </si>
  <si>
    <t>Si tu pouvais passer une journée dans le métier de quelqu'un d'autre juste pour voir, ce serait lequel ?</t>
  </si>
  <si>
    <t>Metiers</t>
  </si>
  <si>
    <t>Quel métier pourrais-tu ne JAMAIS faire ?</t>
  </si>
  <si>
    <t>Quel est le fantasme que tu avouerais devant ce groupe ?</t>
  </si>
  <si>
    <t>Fantasmes</t>
  </si>
  <si>
    <t>Quel est le compliment le plus inattendu que tu aies reçu sur ton physique ou ta sensualité ?</t>
  </si>
  <si>
    <t>Quelle est la chose que tu trouves sexy chez quelqu'un et qui n'a rien à voir avec le physique ?</t>
  </si>
  <si>
    <t>Préférences</t>
  </si>
  <si>
    <t>Quel est ton style de mec/meuf en 3 mots ?</t>
  </si>
  <si>
    <t>Quel vêtement ou accessoire tu adores porter ?</t>
  </si>
  <si>
    <t>Vêtements</t>
  </si>
  <si>
    <t>Quelle est la chose la plus bizarre que tu fais seul ?</t>
  </si>
  <si>
    <t>What</t>
  </si>
  <si>
    <t>Quelle est ta marque de vêtements préférée ?</t>
  </si>
  <si>
    <t>Quelle est ta plus grosse flemme quotidienne ?</t>
  </si>
  <si>
    <t>Quelle est la meilleure chose que tu aies découverte sur toi-même en restant seul(e) ?</t>
  </si>
  <si>
    <t>Repli sur Soi</t>
  </si>
  <si>
    <t>À quel moment tu ressens le plus le besoin d'être seul(e) ?</t>
  </si>
  <si>
    <t>Que fais-tu quand tu te retrouves seul(e) et que tu dois remplir une journée entière ?</t>
  </si>
  <si>
    <t>Solitude</t>
  </si>
  <si>
    <t>Quel est le moment de solitude dont tu te souviens le + ?</t>
  </si>
  <si>
    <t>Quel a été ton premier métier, ou job étudiant ?</t>
  </si>
  <si>
    <t>En un mot, qu'est-ce qui donne sens à ton travail ?</t>
  </si>
  <si>
    <t>Quelqu'un ne te souhaite pas ton anniversaire. Que fais-tu ?</t>
  </si>
  <si>
    <t>MISE EN SITUATION</t>
  </si>
  <si>
    <t>Qu'est-ce que tu penses des arabes ?</t>
  </si>
  <si>
    <t>Ethnies</t>
  </si>
  <si>
    <t>Les incohérences de données dans le Excel:</t>
  </si>
  <si>
    <t>Qu'est-ce que tu penses des indiens ?</t>
  </si>
  <si>
    <t>3 sujets (Langue, Petits Plaisirs, Contradictions) apparaissent dans 2 thèmes différents, chacun avec 1 question. En jeu, la carte affichera 1 seule question à pour ces sujets.</t>
  </si>
  <si>
    <t>Qu'est-ce que tu penses de Macron ?</t>
  </si>
  <si>
    <t>Personnalités politiques</t>
  </si>
  <si>
    <t>Qu'est-ce que tu penses de Donald Trump ?</t>
  </si>
  <si>
    <t>1 vrai bug : Discussions Idéales et Discussions idéales sont dans la même catégorie (DEEP et FACE À TOI-MÊME), juste une différence de majuscule au niveau du i→ doublon à fusionner.</t>
  </si>
  <si>
    <t>Qu'est-ce que tu penses de la religion ?</t>
  </si>
  <si>
    <t>Croyances</t>
  </si>
  <si>
    <t>Qu'est-ce que tu penses du monde actuel ?</t>
  </si>
  <si>
    <t>Situation sociale</t>
  </si>
  <si>
    <t>Dilemme moral</t>
  </si>
  <si>
    <t>Imprévu voyage</t>
  </si>
  <si>
    <t>Proches &amp; confiance</t>
  </si>
  <si>
    <t>Amour &amp; timing</t>
  </si>
  <si>
    <t>Réputation &amp; visibilité</t>
  </si>
  <si>
    <t>Tu réalises que ton ami est trop saoul et veut rentrer en voiture. Tu fais quoi ?</t>
  </si>
  <si>
    <t>Responsabilité</t>
  </si>
  <si>
    <t>Tu vois quelqu'un d'isolé et perdu dans une soirée. Tu fais quoi ?</t>
  </si>
  <si>
    <t>Intégrité pro</t>
  </si>
  <si>
    <t>Tu reçois un message très intime d'un inconnu qui s'est trompé de destinataire. Qu'est-ce que tu fais ?</t>
  </si>
  <si>
    <t>Situations absurdes</t>
  </si>
  <si>
    <t>Tu te rends compte que tu as échangé ta valise avec quelqu'un à l'aéroport. Dans la sienne, quelque chose de très personnel. Tu fais quoi ?</t>
  </si>
  <si>
    <t>Qu'est-ce que tu penses des gens qui cherchent leur partenaire uniquement sur des applis ?</t>
  </si>
  <si>
    <t>Amour moderne</t>
  </si>
  <si>
    <t>Qu'est-ce que tu penses des gens très riches qui ne donnent pas ?</t>
  </si>
  <si>
    <t>Argent &amp; éthique</t>
  </si>
  <si>
    <t>Qu'est-ce que tu penses des gens qui ont beaucoup d'amis mais peu de relations profondes ?</t>
  </si>
  <si>
    <t>Amitié &amp; profondeur</t>
  </si>
  <si>
    <t>À partir de quand peut-on vraiment appeler quelqu'un son meilleur ami ?</t>
  </si>
  <si>
    <t>Qu'est-ce que tu penses de la chirurgie esthétique ?</t>
  </si>
  <si>
    <t>Tech &amp; IA</t>
  </si>
  <si>
    <t>L'intelligence artificielle : chance pour l'humanité ou menace réelle ?</t>
  </si>
  <si>
    <t>THEMES</t>
  </si>
  <si>
    <t>CATEGORIES</t>
  </si>
  <si>
    <t>Type de Question</t>
  </si>
  <si>
    <t>DEEP</t>
  </si>
  <si>
    <t>Catégorie</t>
  </si>
  <si>
    <t>FUN</t>
  </si>
  <si>
    <t>ICEBREAKERS</t>
  </si>
  <si>
    <t>A l'écolé</t>
  </si>
  <si>
    <t>AVENIR :</t>
  </si>
  <si>
    <t>Ca ME SOULE</t>
  </si>
  <si>
    <t>Collection &amp; passions</t>
  </si>
  <si>
    <t>Commmunication</t>
  </si>
  <si>
    <t>Comportement</t>
  </si>
  <si>
    <t>Confiance &amp; Les Autres</t>
  </si>
  <si>
    <t>Conseils</t>
  </si>
  <si>
    <t>Conseils à Toi-Même</t>
  </si>
  <si>
    <t>Culture &amp; Identité</t>
  </si>
  <si>
    <t>Désirs</t>
  </si>
  <si>
    <t>Écrans</t>
  </si>
  <si>
    <t>Écriture</t>
  </si>
  <si>
    <t>Energie</t>
  </si>
  <si>
    <t>Films &amp; Chansons</t>
  </si>
  <si>
    <t>Grande Tristesse !</t>
  </si>
  <si>
    <t xml:space="preserve">Gratitude </t>
  </si>
  <si>
    <t>Historique &amp; Passé (B)</t>
  </si>
  <si>
    <t xml:space="preserve">Humeur </t>
  </si>
  <si>
    <t>Inattendu</t>
  </si>
  <si>
    <t>Jeux</t>
  </si>
  <si>
    <t xml:space="preserve">Justice </t>
  </si>
  <si>
    <t>La Déconne</t>
  </si>
  <si>
    <t>La Vie &amp; Groupe</t>
  </si>
  <si>
    <t>Langue (1)</t>
  </si>
  <si>
    <t xml:space="preserve">Maison </t>
  </si>
  <si>
    <t xml:space="preserve">Matin </t>
  </si>
  <si>
    <t>Nostalgie &amp; Mode</t>
  </si>
  <si>
    <t>Nuit</t>
  </si>
  <si>
    <t>Objectif</t>
  </si>
  <si>
    <t>Parentalité</t>
  </si>
  <si>
    <t xml:space="preserve">Partage </t>
  </si>
  <si>
    <t>Photos</t>
  </si>
  <si>
    <t>Pilier</t>
  </si>
  <si>
    <t>Plats &amp; Goûts Extrêmes</t>
  </si>
  <si>
    <t xml:space="preserve">Podcast </t>
  </si>
  <si>
    <t>Pouvoirs Utiles</t>
  </si>
  <si>
    <t>Qualité chez un Ami</t>
  </si>
  <si>
    <t>Qualités à Travailler</t>
  </si>
  <si>
    <t>Qualités/Défauts</t>
  </si>
  <si>
    <t>Questions de destin</t>
  </si>
  <si>
    <t>Roadtrips</t>
  </si>
  <si>
    <t>Romantique</t>
  </si>
  <si>
    <t>Série</t>
  </si>
  <si>
    <t xml:space="preserve">Social </t>
  </si>
  <si>
    <t xml:space="preserve">Solitude </t>
  </si>
  <si>
    <t>Souvenir</t>
  </si>
  <si>
    <t>Spectacles</t>
  </si>
  <si>
    <t>Superstitution</t>
  </si>
  <si>
    <t>Ta Confiance en Toi</t>
  </si>
  <si>
    <t>Tâches ménagères</t>
  </si>
  <si>
    <t>Tombé</t>
  </si>
  <si>
    <t>Transport</t>
  </si>
  <si>
    <t>Trouvé</t>
  </si>
  <si>
    <t>Vériés</t>
  </si>
  <si>
    <t>Nb Questions</t>
  </si>
  <si>
    <t>Nb Types</t>
  </si>
  <si>
    <t>AMOUR &amp; SÉDUCTION</t>
  </si>
  <si>
    <t>CINÉ &amp; SÉRIES</t>
  </si>
  <si>
    <t>HUMOUR &amp; DOSSIERS</t>
  </si>
  <si>
    <t>LE MONDE</t>
  </si>
  <si>
    <t>MUSIQUE</t>
  </si>
  <si>
    <t>PASSIONS &amp; CRÉA</t>
  </si>
  <si>
    <t>RETOUR EN ARRIÈRE</t>
  </si>
  <si>
    <t>VOYAGES &amp; NATURE</t>
  </si>
  <si>
    <t>ÉMOTIONS &amp; BIEN-ÊTRE</t>
  </si>
  <si>
    <t>TOTAL</t>
  </si>
  <si>
    <t>Dans un groupe, quelqu'un se moque ouvertement de toi, les autrent rient. Que fais-tu ?</t>
  </si>
  <si>
    <t>Tu croises ton ex dans la rue avec son nouveau partenaire. Comment tu gères la conversation ?</t>
  </si>
  <si>
    <t>Tu trouves un portefeuille avec 500€ et une carte d'identité dans le métro. Que fais-tu ?</t>
  </si>
  <si>
    <t>Ton meilleur ami te révèle qu'il trompe sa copine depuis 6 mois et te demande de ne rien dire. Que fais-tu ?</t>
  </si>
  <si>
    <t>Tu rates ton avion d'une minute pour un voyage très attendu. Que fais-tu ?</t>
  </si>
  <si>
    <t>Tu arrives à l'étranger avec un téléphone mort et sans passeport. Que fais-tu ?</t>
  </si>
  <si>
    <t>Tu surprends un proche en train de mentir clairement sur quelque chose d'important. Que fais-tu ?</t>
  </si>
  <si>
    <t>Tu apprends que ton groupe d'amis organisait un event sans t'inviter. Que fais-tu ?</t>
  </si>
  <si>
    <t>Une émission de téléréalité très populaire te contacte pour participer. Que fais-tu ?</t>
  </si>
  <si>
    <t>Tu rates une présentation importante devant 50 personnes à cause d'un bug. Les 5 secondes de silence. Que fais-tu ?</t>
  </si>
  <si>
    <t>Tu te rends comptes que ton collègue gagne 20% de + que toi au même poste. Que fais-tu ?</t>
  </si>
  <si>
    <t>Qu'est-ce que tu penses du mariage ?</t>
  </si>
  <si>
    <t>Qu'est-ce que tu penses du bonheur et de son lien supposé avec l'argent ?</t>
  </si>
  <si>
    <t>Qu'est-ce que tu penses de l'intelligence artificielle ?</t>
  </si>
  <si>
    <t>MES OPINIONS</t>
  </si>
  <si>
    <t>Qu'est-ce que tu penses des influenceurs ?</t>
  </si>
  <si>
    <t>Qu'est-ce que tu penses des réseaux sociaux ?</t>
  </si>
  <si>
    <t>Influenceurs</t>
  </si>
  <si>
    <t>Conflit d'amitié</t>
  </si>
  <si>
    <t>Tu vas croiser quelqu'un de la famille que tu n'apprécies pas du tout dans la rue, lui ne t'a pas encore vu. Que fais-tu ?</t>
  </si>
  <si>
    <t>Un( e ) amie( e ) proche qui t'es cher déclare qu'il a des sentiments pour toi. Que fais-tu ?</t>
  </si>
  <si>
    <t>Tu es en couple depuis 3 ans et une personne que tu trouves incroyable te fait une déclaration soudaine. Que fais-tu ?</t>
  </si>
  <si>
    <t>Une vidéo de toi dans une situation embarrassante devient virale avec 2 millions de vues. Quelle est ta réaction ?</t>
  </si>
  <si>
    <t>Développement personnel</t>
  </si>
  <si>
    <t>Qu'est-ce que tu penses de la thérapie ?</t>
  </si>
  <si>
    <t>Qu'est-ce que tu penses du développement personnel ?</t>
  </si>
  <si>
    <t>Qu'est-ce que tu penses des standards de beauté dans la société ?</t>
  </si>
  <si>
    <t>Corps &amp; Apparence</t>
  </si>
  <si>
    <t>AMBITIONS 🚀 Tes rêves, ton argent, ta vision ! Que veux-tu vraiment construire ?</t>
  </si>
  <si>
    <t xml:space="preserve">AMIS &amp; FAMILLE🫂Des questions sur tes liens avec ceux qui comptent vraiment ! </t>
  </si>
  <si>
    <t xml:space="preserve">HOT 🔞 En dehors des regards ! Pour les adultes uniquement </t>
  </si>
  <si>
    <t xml:space="preserve">CINÉ &amp; MUSIQUE🎬Ce que tu écoutes, ce que tu regardes, ce que ça dit de toi sans que tu t'en rendes compte ! </t>
  </si>
  <si>
    <t xml:space="preserve">ENTRE NOUS👀 Des questions sur la dynamique de groupe elle-même ! </t>
  </si>
  <si>
    <t>FACE À TOI-MÊME🪞Pas de filtre : ce que tu sais de toi mais que tu dis rarement.</t>
  </si>
  <si>
    <t xml:space="preserve">LES DOSSIERS📂 Opinions tranchées, aveux gênants, Onskoné ou ou Onvastapé ! </t>
  </si>
  <si>
    <t xml:space="preserve">PASSIONS &amp; ACTIVITÉS🎯 Ce qui te fait vibrer dans la vie ! </t>
  </si>
  <si>
    <t xml:space="preserve">QUI ES-TU ?🧬Ton introduction, et les premiers détails qui apprenent à savoir qui tu es ! </t>
  </si>
  <si>
    <t xml:space="preserve">QUOTIDIEN☀️Le matin, les habitudes, les petits riens ! </t>
  </si>
  <si>
    <t>RETOUR EN ARRIÈRE⏪L'enfance, les regrets, les tournants. Tout ce qui t'a construit !</t>
  </si>
  <si>
    <t xml:space="preserve">VOYAGES &amp; SORTIE🌍 Ou tu vas et ou tu sors ! </t>
  </si>
  <si>
    <t xml:space="preserve">ÉMOTIONS &amp; BIEN-ÊTRE💛 Ce que tu ressens vraiment ! Petite introspection </t>
  </si>
  <si>
    <t>MISE EN SITUATION🎭 On te met dans un contexte, et on voit ce que ça donne !</t>
  </si>
  <si>
    <t>TES OPINIONS🗣️ Ce que tu penses à voix haute, sur plusieurs sujets particuliers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</si>
</sst>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92400E"/>
      <name val="Arial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4A5568"/>
      </patternFill>
    </fill>
    <fill>
      <patternFill patternType="solid">
        <fgColor rgb="FF553C9A"/>
      </patternFill>
    </fill>
    <fill>
      <patternFill patternType="solid">
        <fgColor rgb="FF2563EB"/>
      </patternFill>
    </fill>
    <fill>
      <patternFill patternType="solid">
        <fgColor rgb="FFB45309"/>
      </patternFill>
    </fill>
    <fill>
      <patternFill patternType="solid">
        <fgColor rgb="FFD6E8FF"/>
      </patternFill>
    </fill>
    <fill>
      <patternFill patternType="solid">
        <fgColor rgb="FFFEF3C7"/>
      </patternFill>
    </fill>
    <fill>
      <patternFill patternType="solid">
        <fgColor rgb="FFD6F0FF"/>
      </patternFill>
    </fill>
    <fill>
      <patternFill patternType="solid">
        <fgColor rgb="FFFFD6E0"/>
      </patternFill>
    </fill>
    <fill>
      <patternFill patternType="solid">
        <fgColor rgb="FFFFE8D6"/>
      </patternFill>
    </fill>
    <fill>
      <patternFill patternType="solid">
        <fgColor rgb="FFD6F5D6"/>
      </patternFill>
    </fill>
    <fill>
      <patternFill patternType="solid">
        <fgColor rgb="FFE8D6FF"/>
      </patternFill>
    </fill>
    <fill>
      <patternFill patternType="solid">
        <fgColor rgb="FFFFD6D6"/>
      </patternFill>
    </fill>
    <fill>
      <patternFill patternType="solid">
        <fgColor rgb="FFD6FFD6"/>
      </patternFill>
    </fill>
    <fill>
      <patternFill patternType="solid">
        <fgColor rgb="FFFFFBD6"/>
      </patternFill>
    </fill>
    <fill>
      <patternFill patternType="solid">
        <fgColor rgb="FFFFD6F5"/>
      </patternFill>
    </fill>
    <fill>
      <patternFill patternType="solid">
        <fgColor rgb="FFF0D6FF"/>
      </patternFill>
    </fill>
    <fill>
      <patternFill patternType="solid">
        <fgColor rgb="FFFFF0D6"/>
      </patternFill>
    </fill>
    <fill>
      <patternFill patternType="solid">
        <fgColor rgb="FFF5D6FF"/>
      </patternFill>
    </fill>
    <fill>
      <patternFill patternType="solid">
        <fgColor rgb="FFD6FFFC"/>
      </patternFill>
    </fill>
    <fill>
      <patternFill patternType="solid">
        <fgColor rgb="FFD6FFE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left"/>
    </xf>
    <xf numFmtId="0" fontId="5" fillId="16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left"/>
    </xf>
    <xf numFmtId="0" fontId="5" fillId="20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left"/>
    </xf>
    <xf numFmtId="0" fontId="5" fillId="21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left"/>
    </xf>
    <xf numFmtId="0" fontId="5" fillId="2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" xfId="0" applyBorder="1"/>
    <xf numFmtId="0" fontId="3" fillId="22" borderId="2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3"/>
  <sheetViews>
    <sheetView tabSelected="1" zoomScale="65" workbookViewId="0">
      <pane ySplit="1" topLeftCell="A630" activePane="bottomLeft" state="frozen"/>
      <selection pane="bottomLeft" activeCell="D637" sqref="D637"/>
    </sheetView>
  </sheetViews>
  <sheetFormatPr baseColWidth="10" defaultColWidth="8.7109375" defaultRowHeight="15" x14ac:dyDescent="0.25"/>
  <cols>
    <col min="1" max="1" width="71.140625" customWidth="1"/>
    <col min="2" max="2" width="18" customWidth="1"/>
    <col min="3" max="3" width="22" customWidth="1"/>
    <col min="4" max="5" width="28" customWidth="1"/>
    <col min="6" max="6" width="45" customWidth="1"/>
  </cols>
  <sheetData>
    <row r="1" spans="1:6" ht="30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1.95" customHeight="1" x14ac:dyDescent="0.25">
      <c r="A2" s="43" t="s">
        <v>5</v>
      </c>
      <c r="B2" s="43"/>
      <c r="C2" s="44" t="s">
        <v>6</v>
      </c>
      <c r="D2" s="45" t="s">
        <v>7</v>
      </c>
      <c r="E2" s="45">
        <f>COUNTIF(Questions!D:D,D2)</f>
        <v>2</v>
      </c>
      <c r="F2" s="44"/>
    </row>
    <row r="3" spans="1:6" ht="21.95" customHeight="1" x14ac:dyDescent="0.25">
      <c r="A3" s="43" t="s">
        <v>8</v>
      </c>
      <c r="B3" s="43"/>
      <c r="C3" s="44" t="s">
        <v>6</v>
      </c>
      <c r="D3" s="45" t="s">
        <v>7</v>
      </c>
      <c r="E3" s="45">
        <f>COUNTIF(Questions!D:D,D3)</f>
        <v>2</v>
      </c>
      <c r="F3" s="44"/>
    </row>
    <row r="4" spans="1:6" ht="21.95" customHeight="1" x14ac:dyDescent="0.25">
      <c r="A4" s="22" t="s">
        <v>9</v>
      </c>
      <c r="B4" s="22"/>
      <c r="C4" s="23" t="s">
        <v>10</v>
      </c>
      <c r="D4" s="24" t="s">
        <v>11</v>
      </c>
      <c r="E4" s="24">
        <f>COUNTIF(Questions!D:D,D4)</f>
        <v>2</v>
      </c>
      <c r="F4" s="23"/>
    </row>
    <row r="5" spans="1:6" ht="21.95" customHeight="1" x14ac:dyDescent="0.25">
      <c r="A5" s="22" t="s">
        <v>12</v>
      </c>
      <c r="B5" s="22"/>
      <c r="C5" s="23" t="s">
        <v>10</v>
      </c>
      <c r="D5" s="24" t="s">
        <v>11</v>
      </c>
      <c r="E5" s="24">
        <f>COUNTIF(Questions!D:D,D5)</f>
        <v>2</v>
      </c>
      <c r="F5" s="23"/>
    </row>
    <row r="6" spans="1:6" ht="21.95" customHeight="1" x14ac:dyDescent="0.25">
      <c r="A6" s="46" t="s">
        <v>13</v>
      </c>
      <c r="B6" s="46"/>
      <c r="C6" s="47" t="s">
        <v>14</v>
      </c>
      <c r="D6" s="48" t="s">
        <v>15</v>
      </c>
      <c r="E6" s="48">
        <f>COUNTIF(Questions!D:D,D6)</f>
        <v>2</v>
      </c>
      <c r="F6" s="47"/>
    </row>
    <row r="7" spans="1:6" ht="21.95" customHeight="1" x14ac:dyDescent="0.25">
      <c r="A7" s="46" t="s">
        <v>16</v>
      </c>
      <c r="B7" s="46"/>
      <c r="C7" s="47" t="s">
        <v>14</v>
      </c>
      <c r="D7" s="48" t="s">
        <v>15</v>
      </c>
      <c r="E7" s="48">
        <f>COUNTIF(Questions!D:D,D7)</f>
        <v>2</v>
      </c>
      <c r="F7" s="47">
        <v>23</v>
      </c>
    </row>
    <row r="8" spans="1:6" ht="21.95" customHeight="1" x14ac:dyDescent="0.25">
      <c r="A8" s="22" t="s">
        <v>17</v>
      </c>
      <c r="B8" s="22"/>
      <c r="C8" s="23" t="s">
        <v>10</v>
      </c>
      <c r="D8" s="24" t="s">
        <v>18</v>
      </c>
      <c r="E8" s="24">
        <f>COUNTIF(Questions!D:D,D8)</f>
        <v>2</v>
      </c>
      <c r="F8" s="23"/>
    </row>
    <row r="9" spans="1:6" ht="21.95" customHeight="1" x14ac:dyDescent="0.25">
      <c r="A9" s="22" t="s">
        <v>19</v>
      </c>
      <c r="B9" s="22"/>
      <c r="C9" s="23" t="s">
        <v>10</v>
      </c>
      <c r="D9" s="24" t="s">
        <v>18</v>
      </c>
      <c r="E9" s="24">
        <f>COUNTIF(Questions!D:D,D9)</f>
        <v>2</v>
      </c>
      <c r="F9" s="23"/>
    </row>
    <row r="10" spans="1:6" ht="21.95" customHeight="1" x14ac:dyDescent="0.25">
      <c r="A10" s="43" t="s">
        <v>20</v>
      </c>
      <c r="B10" s="43"/>
      <c r="C10" s="44" t="s">
        <v>6</v>
      </c>
      <c r="D10" s="45" t="s">
        <v>21</v>
      </c>
      <c r="E10" s="45">
        <f>COUNTIF(Questions!D:D,D10)</f>
        <v>2</v>
      </c>
      <c r="F10" s="44"/>
    </row>
    <row r="11" spans="1:6" ht="21.95" customHeight="1" x14ac:dyDescent="0.25">
      <c r="A11" s="43" t="s">
        <v>22</v>
      </c>
      <c r="B11" s="43"/>
      <c r="C11" s="44" t="s">
        <v>6</v>
      </c>
      <c r="D11" s="45" t="s">
        <v>21</v>
      </c>
      <c r="E11" s="45">
        <f>COUNTIF(Questions!D:D,D11)</f>
        <v>2</v>
      </c>
      <c r="F11" s="44"/>
    </row>
    <row r="12" spans="1:6" ht="21.95" customHeight="1" x14ac:dyDescent="0.25">
      <c r="A12" s="46" t="s">
        <v>23</v>
      </c>
      <c r="B12" s="46"/>
      <c r="C12" s="47" t="s">
        <v>14</v>
      </c>
      <c r="D12" s="48" t="s">
        <v>24</v>
      </c>
      <c r="E12" s="48">
        <f>COUNTIF(Questions!D:D,D12)</f>
        <v>2</v>
      </c>
      <c r="F12" s="47"/>
    </row>
    <row r="13" spans="1:6" ht="21.95" customHeight="1" x14ac:dyDescent="0.25">
      <c r="A13" s="46" t="s">
        <v>25</v>
      </c>
      <c r="B13" s="46"/>
      <c r="C13" s="47" t="s">
        <v>14</v>
      </c>
      <c r="D13" s="48" t="s">
        <v>24</v>
      </c>
      <c r="E13" s="48">
        <f>COUNTIF(Questions!D:D,D13)</f>
        <v>2</v>
      </c>
      <c r="F13" s="47"/>
    </row>
    <row r="14" spans="1:6" ht="21.95" customHeight="1" x14ac:dyDescent="0.25">
      <c r="A14" s="6" t="s">
        <v>26</v>
      </c>
      <c r="B14" s="6"/>
      <c r="C14" s="7" t="s">
        <v>27</v>
      </c>
      <c r="D14" s="8" t="s">
        <v>28</v>
      </c>
      <c r="E14" s="8">
        <f>COUNTIF(Questions!D:D,D14)</f>
        <v>2</v>
      </c>
      <c r="F14" s="7"/>
    </row>
    <row r="15" spans="1:6" ht="21.95" customHeight="1" x14ac:dyDescent="0.25">
      <c r="A15" s="6" t="s">
        <v>29</v>
      </c>
      <c r="B15" s="6"/>
      <c r="C15" s="7" t="s">
        <v>27</v>
      </c>
      <c r="D15" s="8" t="s">
        <v>28</v>
      </c>
      <c r="E15" s="8">
        <f>COUNTIF(Questions!D:D,D15)</f>
        <v>2</v>
      </c>
      <c r="F15" s="7"/>
    </row>
    <row r="16" spans="1:6" ht="21.95" customHeight="1" x14ac:dyDescent="0.25">
      <c r="A16" s="37" t="s">
        <v>30</v>
      </c>
      <c r="B16" s="37"/>
      <c r="C16" s="38" t="s">
        <v>31</v>
      </c>
      <c r="D16" s="39" t="s">
        <v>32</v>
      </c>
      <c r="E16" s="39">
        <f>COUNTIF(Questions!D:D,D16)</f>
        <v>2</v>
      </c>
      <c r="F16" s="38"/>
    </row>
    <row r="17" spans="1:6" ht="21.95" customHeight="1" x14ac:dyDescent="0.25">
      <c r="A17" s="37" t="s">
        <v>33</v>
      </c>
      <c r="B17" s="37"/>
      <c r="C17" s="38" t="s">
        <v>31</v>
      </c>
      <c r="D17" s="39" t="s">
        <v>32</v>
      </c>
      <c r="E17" s="39">
        <f>COUNTIF(Questions!D:D,D17)</f>
        <v>2</v>
      </c>
      <c r="F17" s="38"/>
    </row>
    <row r="18" spans="1:6" ht="21.95" customHeight="1" x14ac:dyDescent="0.25">
      <c r="A18" s="37" t="s">
        <v>34</v>
      </c>
      <c r="B18" s="37"/>
      <c r="C18" s="38" t="s">
        <v>35</v>
      </c>
      <c r="D18" s="39" t="s">
        <v>36</v>
      </c>
      <c r="E18" s="39">
        <f>COUNTIF(Questions!D:D,D18)</f>
        <v>2</v>
      </c>
      <c r="F18" s="38"/>
    </row>
    <row r="19" spans="1:6" ht="21.95" customHeight="1" x14ac:dyDescent="0.25">
      <c r="A19" s="37" t="s">
        <v>37</v>
      </c>
      <c r="B19" s="37"/>
      <c r="C19" s="38" t="s">
        <v>35</v>
      </c>
      <c r="D19" s="39" t="s">
        <v>36</v>
      </c>
      <c r="E19" s="39">
        <f>COUNTIF(Questions!D:D,D19)</f>
        <v>2</v>
      </c>
      <c r="F19" s="38"/>
    </row>
    <row r="20" spans="1:6" ht="21.95" customHeight="1" x14ac:dyDescent="0.25">
      <c r="A20" s="25" t="s">
        <v>38</v>
      </c>
      <c r="B20" s="25"/>
      <c r="C20" s="26" t="s">
        <v>39</v>
      </c>
      <c r="D20" s="27" t="s">
        <v>40</v>
      </c>
      <c r="E20" s="27">
        <f>COUNTIF(Questions!D:D,D20)</f>
        <v>2</v>
      </c>
      <c r="F20" s="26"/>
    </row>
    <row r="21" spans="1:6" ht="21.95" customHeight="1" x14ac:dyDescent="0.25">
      <c r="A21" s="25" t="s">
        <v>41</v>
      </c>
      <c r="B21" s="25"/>
      <c r="C21" s="26" t="s">
        <v>39</v>
      </c>
      <c r="D21" s="27" t="s">
        <v>40</v>
      </c>
      <c r="E21" s="27">
        <f>COUNTIF(Questions!D:D,D21)</f>
        <v>2</v>
      </c>
      <c r="F21" s="26"/>
    </row>
    <row r="22" spans="1:6" ht="21.95" customHeight="1" x14ac:dyDescent="0.25">
      <c r="A22" s="13" t="s">
        <v>42</v>
      </c>
      <c r="B22" s="13"/>
      <c r="C22" s="14" t="s">
        <v>43</v>
      </c>
      <c r="D22" s="15" t="s">
        <v>44</v>
      </c>
      <c r="E22" s="15">
        <f>COUNTIF(Questions!D:D,D22)</f>
        <v>2</v>
      </c>
      <c r="F22" s="14"/>
    </row>
    <row r="23" spans="1:6" ht="21.95" customHeight="1" x14ac:dyDescent="0.25">
      <c r="A23" s="13" t="s">
        <v>45</v>
      </c>
      <c r="B23" s="13"/>
      <c r="C23" s="14" t="s">
        <v>43</v>
      </c>
      <c r="D23" s="15" t="s">
        <v>44</v>
      </c>
      <c r="E23" s="15">
        <f>COUNTIF(Questions!D:D,D23)</f>
        <v>2</v>
      </c>
      <c r="F23" s="14"/>
    </row>
    <row r="24" spans="1:6" ht="21.95" customHeight="1" x14ac:dyDescent="0.25">
      <c r="A24" s="13" t="s">
        <v>46</v>
      </c>
      <c r="B24" s="13"/>
      <c r="C24" s="14" t="s">
        <v>43</v>
      </c>
      <c r="D24" s="15" t="s">
        <v>47</v>
      </c>
      <c r="E24" s="15">
        <f>COUNTIF(Questions!D:D,D24)</f>
        <v>2</v>
      </c>
      <c r="F24" s="14"/>
    </row>
    <row r="25" spans="1:6" ht="21.95" customHeight="1" x14ac:dyDescent="0.25">
      <c r="A25" s="13" t="s">
        <v>48</v>
      </c>
      <c r="B25" s="13"/>
      <c r="C25" s="14" t="s">
        <v>43</v>
      </c>
      <c r="D25" s="15" t="s">
        <v>47</v>
      </c>
      <c r="E25" s="15">
        <f>COUNTIF(Questions!D:D,D25)</f>
        <v>2</v>
      </c>
      <c r="F25" s="14"/>
    </row>
    <row r="26" spans="1:6" ht="21.95" customHeight="1" x14ac:dyDescent="0.25">
      <c r="A26" s="52" t="s">
        <v>49</v>
      </c>
      <c r="B26" s="52"/>
      <c r="C26" s="53" t="s">
        <v>50</v>
      </c>
      <c r="D26" s="54" t="s">
        <v>51</v>
      </c>
      <c r="E26" s="54">
        <f>COUNTIF(Questions!D:D,D26)</f>
        <v>2</v>
      </c>
      <c r="F26" s="53"/>
    </row>
    <row r="27" spans="1:6" ht="21.95" customHeight="1" x14ac:dyDescent="0.25">
      <c r="A27" s="52" t="s">
        <v>52</v>
      </c>
      <c r="B27" s="52"/>
      <c r="C27" s="53" t="s">
        <v>50</v>
      </c>
      <c r="D27" s="54" t="s">
        <v>51</v>
      </c>
      <c r="E27" s="54">
        <f>COUNTIF(Questions!D:D,D27)</f>
        <v>2</v>
      </c>
      <c r="F27" s="53"/>
    </row>
    <row r="28" spans="1:6" ht="21.95" customHeight="1" x14ac:dyDescent="0.25">
      <c r="A28" s="37" t="s">
        <v>53</v>
      </c>
      <c r="B28" s="37"/>
      <c r="C28" s="38" t="s">
        <v>31</v>
      </c>
      <c r="D28" s="39" t="s">
        <v>54</v>
      </c>
      <c r="E28" s="39">
        <f>COUNTIF(Questions!D:D,D28)</f>
        <v>2</v>
      </c>
      <c r="F28" s="38"/>
    </row>
    <row r="29" spans="1:6" ht="21.95" customHeight="1" x14ac:dyDescent="0.25">
      <c r="A29" s="37" t="s">
        <v>55</v>
      </c>
      <c r="B29" s="37"/>
      <c r="C29" s="38" t="s">
        <v>31</v>
      </c>
      <c r="D29" s="39" t="s">
        <v>54</v>
      </c>
      <c r="E29" s="39">
        <f>COUNTIF(Questions!D:D,D29)</f>
        <v>2</v>
      </c>
      <c r="F29" s="38"/>
    </row>
    <row r="30" spans="1:6" ht="21.95" customHeight="1" x14ac:dyDescent="0.25">
      <c r="A30" s="37" t="s">
        <v>56</v>
      </c>
      <c r="B30" s="37"/>
      <c r="C30" s="38" t="s">
        <v>31</v>
      </c>
      <c r="D30" s="39" t="s">
        <v>57</v>
      </c>
      <c r="E30" s="39">
        <f>COUNTIF(Questions!D:D,D30)</f>
        <v>2</v>
      </c>
      <c r="F30" s="38"/>
    </row>
    <row r="31" spans="1:6" ht="21.95" customHeight="1" x14ac:dyDescent="0.25">
      <c r="A31" s="37" t="s">
        <v>58</v>
      </c>
      <c r="B31" s="37"/>
      <c r="C31" s="38" t="s">
        <v>31</v>
      </c>
      <c r="D31" s="39" t="s">
        <v>57</v>
      </c>
      <c r="E31" s="39">
        <f>COUNTIF(Questions!D:D,D31)</f>
        <v>2</v>
      </c>
      <c r="F31" s="38"/>
    </row>
    <row r="32" spans="1:6" ht="21.95" customHeight="1" x14ac:dyDescent="0.25">
      <c r="A32" s="19" t="s">
        <v>59</v>
      </c>
      <c r="B32" s="19"/>
      <c r="C32" s="20" t="s">
        <v>35</v>
      </c>
      <c r="D32" s="21" t="s">
        <v>60</v>
      </c>
      <c r="E32" s="21">
        <f>COUNTIF(Questions!D:D,D32)</f>
        <v>2</v>
      </c>
      <c r="F32" s="20"/>
    </row>
    <row r="33" spans="1:6" ht="21.95" customHeight="1" x14ac:dyDescent="0.25">
      <c r="A33" s="19" t="s">
        <v>61</v>
      </c>
      <c r="B33" s="19"/>
      <c r="C33" s="20" t="s">
        <v>35</v>
      </c>
      <c r="D33" s="21" t="s">
        <v>60</v>
      </c>
      <c r="E33" s="21">
        <f>COUNTIF(Questions!D:D,D33)</f>
        <v>2</v>
      </c>
      <c r="F33" s="20">
        <v>23</v>
      </c>
    </row>
    <row r="34" spans="1:6" ht="21.95" customHeight="1" x14ac:dyDescent="0.25">
      <c r="A34" s="43" t="s">
        <v>62</v>
      </c>
      <c r="B34" s="43"/>
      <c r="C34" s="44" t="s">
        <v>6</v>
      </c>
      <c r="D34" s="45" t="s">
        <v>63</v>
      </c>
      <c r="E34" s="45">
        <f>COUNTIF(Questions!D:D,D34)</f>
        <v>2</v>
      </c>
      <c r="F34" s="44"/>
    </row>
    <row r="35" spans="1:6" ht="21.95" customHeight="1" x14ac:dyDescent="0.25">
      <c r="A35" s="43" t="s">
        <v>64</v>
      </c>
      <c r="B35" s="43"/>
      <c r="C35" s="44" t="s">
        <v>6</v>
      </c>
      <c r="D35" s="45" t="s">
        <v>63</v>
      </c>
      <c r="E35" s="45">
        <f>COUNTIF(Questions!D:D,D35)</f>
        <v>2</v>
      </c>
      <c r="F35" s="44"/>
    </row>
    <row r="36" spans="1:6" ht="21.95" customHeight="1" x14ac:dyDescent="0.25">
      <c r="A36" s="22" t="s">
        <v>65</v>
      </c>
      <c r="B36" s="22"/>
      <c r="C36" s="23" t="s">
        <v>10</v>
      </c>
      <c r="D36" s="24" t="s">
        <v>66</v>
      </c>
      <c r="E36" s="24">
        <f>COUNTIF(Questions!D:D,D36)</f>
        <v>2</v>
      </c>
      <c r="F36" s="23"/>
    </row>
    <row r="37" spans="1:6" ht="21.95" customHeight="1" x14ac:dyDescent="0.25">
      <c r="A37" s="22" t="s">
        <v>67</v>
      </c>
      <c r="B37" s="22"/>
      <c r="C37" s="23" t="s">
        <v>10</v>
      </c>
      <c r="D37" s="24" t="s">
        <v>66</v>
      </c>
      <c r="E37" s="24">
        <f>COUNTIF(Questions!D:D,D37)</f>
        <v>2</v>
      </c>
      <c r="F37" s="23"/>
    </row>
    <row r="38" spans="1:6" ht="21.95" customHeight="1" x14ac:dyDescent="0.25">
      <c r="A38" s="37" t="s">
        <v>68</v>
      </c>
      <c r="B38" s="37"/>
      <c r="C38" s="38" t="s">
        <v>31</v>
      </c>
      <c r="D38" s="39" t="s">
        <v>69</v>
      </c>
      <c r="E38" s="39">
        <f>COUNTIF(Questions!D:D,D38)</f>
        <v>2</v>
      </c>
      <c r="F38" s="38"/>
    </row>
    <row r="39" spans="1:6" ht="21.95" customHeight="1" x14ac:dyDescent="0.25">
      <c r="A39" s="37" t="s">
        <v>70</v>
      </c>
      <c r="B39" s="37"/>
      <c r="C39" s="38" t="s">
        <v>31</v>
      </c>
      <c r="D39" s="39" t="s">
        <v>69</v>
      </c>
      <c r="E39" s="39">
        <f>COUNTIF(Questions!D:D,D39)</f>
        <v>2</v>
      </c>
      <c r="F39" s="38"/>
    </row>
    <row r="40" spans="1:6" ht="21.95" customHeight="1" x14ac:dyDescent="0.25">
      <c r="A40" s="37" t="s">
        <v>71</v>
      </c>
      <c r="B40" s="37"/>
      <c r="C40" s="38" t="s">
        <v>31</v>
      </c>
      <c r="D40" s="39" t="s">
        <v>72</v>
      </c>
      <c r="E40" s="39">
        <f>COUNTIF(Questions!D:D,D40)</f>
        <v>2</v>
      </c>
      <c r="F40" s="38"/>
    </row>
    <row r="41" spans="1:6" ht="21.95" customHeight="1" x14ac:dyDescent="0.25">
      <c r="A41" s="37" t="s">
        <v>73</v>
      </c>
      <c r="B41" s="37"/>
      <c r="C41" s="38" t="s">
        <v>31</v>
      </c>
      <c r="D41" s="39" t="s">
        <v>72</v>
      </c>
      <c r="E41" s="39">
        <f>COUNTIF(Questions!D:D,D41)</f>
        <v>2</v>
      </c>
      <c r="F41" s="38"/>
    </row>
    <row r="42" spans="1:6" ht="21.95" customHeight="1" x14ac:dyDescent="0.25">
      <c r="A42" s="6" t="s">
        <v>74</v>
      </c>
      <c r="B42" s="6"/>
      <c r="C42" s="7" t="s">
        <v>27</v>
      </c>
      <c r="D42" s="8" t="s">
        <v>75</v>
      </c>
      <c r="E42" s="8">
        <f>COUNTIF(Questions!D:D,D42)</f>
        <v>2</v>
      </c>
      <c r="F42" s="7"/>
    </row>
    <row r="43" spans="1:6" ht="21.95" customHeight="1" x14ac:dyDescent="0.25">
      <c r="A43" s="6" t="s">
        <v>76</v>
      </c>
      <c r="B43" s="6"/>
      <c r="C43" s="7" t="s">
        <v>27</v>
      </c>
      <c r="D43" s="8" t="s">
        <v>75</v>
      </c>
      <c r="E43" s="8">
        <f>COUNTIF(Questions!D:D,D43)</f>
        <v>2</v>
      </c>
      <c r="F43" s="7"/>
    </row>
    <row r="44" spans="1:6" ht="21.95" customHeight="1" x14ac:dyDescent="0.25">
      <c r="A44" s="25" t="s">
        <v>77</v>
      </c>
      <c r="B44" s="25"/>
      <c r="C44" s="26" t="s">
        <v>78</v>
      </c>
      <c r="D44" s="27" t="s">
        <v>79</v>
      </c>
      <c r="E44" s="27">
        <f>COUNTIF(Questions!D:D,D44)</f>
        <v>2</v>
      </c>
      <c r="F44" s="26"/>
    </row>
    <row r="45" spans="1:6" ht="21.95" customHeight="1" x14ac:dyDescent="0.25">
      <c r="A45" s="25" t="s">
        <v>80</v>
      </c>
      <c r="B45" s="25"/>
      <c r="C45" s="26" t="s">
        <v>78</v>
      </c>
      <c r="D45" s="27" t="s">
        <v>79</v>
      </c>
      <c r="E45" s="27">
        <f>COUNTIF(Questions!D:D,D45)</f>
        <v>2</v>
      </c>
      <c r="F45" s="26"/>
    </row>
    <row r="46" spans="1:6" ht="21.95" customHeight="1" x14ac:dyDescent="0.25">
      <c r="A46" s="52" t="s">
        <v>81</v>
      </c>
      <c r="B46" s="52"/>
      <c r="C46" s="53" t="s">
        <v>50</v>
      </c>
      <c r="D46" s="54" t="s">
        <v>82</v>
      </c>
      <c r="E46" s="54">
        <f>COUNTIF(Questions!D:D,D46)</f>
        <v>2</v>
      </c>
      <c r="F46" s="53"/>
    </row>
    <row r="47" spans="1:6" ht="21.95" customHeight="1" x14ac:dyDescent="0.25">
      <c r="A47" s="52" t="s">
        <v>83</v>
      </c>
      <c r="B47" s="52"/>
      <c r="C47" s="53" t="s">
        <v>50</v>
      </c>
      <c r="D47" s="54" t="s">
        <v>82</v>
      </c>
      <c r="E47" s="54">
        <f>COUNTIF(Questions!D:D,D47)</f>
        <v>2</v>
      </c>
      <c r="F47" s="53"/>
    </row>
    <row r="48" spans="1:6" ht="21.95" customHeight="1" x14ac:dyDescent="0.25">
      <c r="A48" s="43" t="s">
        <v>84</v>
      </c>
      <c r="B48" s="43"/>
      <c r="C48" s="44" t="s">
        <v>6</v>
      </c>
      <c r="D48" s="45" t="s">
        <v>85</v>
      </c>
      <c r="E48" s="45">
        <f>COUNTIF(Questions!D:D,D48)</f>
        <v>2</v>
      </c>
      <c r="F48" s="44"/>
    </row>
    <row r="49" spans="1:6" ht="21.95" customHeight="1" x14ac:dyDescent="0.25">
      <c r="A49" s="43" t="s">
        <v>86</v>
      </c>
      <c r="B49" s="43"/>
      <c r="C49" s="44" t="s">
        <v>6</v>
      </c>
      <c r="D49" s="45" t="s">
        <v>85</v>
      </c>
      <c r="E49" s="45">
        <f>COUNTIF(Questions!D:D,D49)</f>
        <v>2</v>
      </c>
      <c r="F49" s="44"/>
    </row>
    <row r="50" spans="1:6" ht="21.95" customHeight="1" x14ac:dyDescent="0.25">
      <c r="A50" s="37" t="s">
        <v>87</v>
      </c>
      <c r="B50" s="37"/>
      <c r="C50" s="38" t="s">
        <v>14</v>
      </c>
      <c r="D50" s="39" t="s">
        <v>88</v>
      </c>
      <c r="E50" s="39">
        <f>COUNTIF(Questions!D:D,D50)</f>
        <v>2</v>
      </c>
      <c r="F50" s="38"/>
    </row>
    <row r="51" spans="1:6" ht="21.95" customHeight="1" x14ac:dyDescent="0.25">
      <c r="A51" s="37" t="s">
        <v>89</v>
      </c>
      <c r="B51" s="37"/>
      <c r="C51" s="38" t="s">
        <v>14</v>
      </c>
      <c r="D51" s="39" t="s">
        <v>88</v>
      </c>
      <c r="E51" s="39">
        <f>COUNTIF(Questions!D:D,D51)</f>
        <v>2</v>
      </c>
      <c r="F51" s="38">
        <v>23</v>
      </c>
    </row>
    <row r="52" spans="1:6" ht="21.95" customHeight="1" x14ac:dyDescent="0.25">
      <c r="A52" s="6" t="s">
        <v>90</v>
      </c>
      <c r="B52" s="6"/>
      <c r="C52" s="7" t="s">
        <v>27</v>
      </c>
      <c r="D52" s="8" t="s">
        <v>91</v>
      </c>
      <c r="E52" s="8">
        <f>COUNTIF(Questions!D:D,D52)</f>
        <v>2</v>
      </c>
      <c r="F52" s="7"/>
    </row>
    <row r="53" spans="1:6" ht="21.95" customHeight="1" x14ac:dyDescent="0.25">
      <c r="A53" s="6" t="s">
        <v>92</v>
      </c>
      <c r="B53" s="6"/>
      <c r="C53" s="7" t="s">
        <v>27</v>
      </c>
      <c r="D53" s="8" t="s">
        <v>91</v>
      </c>
      <c r="E53" s="8">
        <f>COUNTIF(Questions!D:D,D53)</f>
        <v>2</v>
      </c>
      <c r="F53" s="7"/>
    </row>
    <row r="54" spans="1:6" ht="21.95" customHeight="1" x14ac:dyDescent="0.25">
      <c r="A54" s="28" t="s">
        <v>93</v>
      </c>
      <c r="B54" s="28"/>
      <c r="C54" s="29" t="s">
        <v>94</v>
      </c>
      <c r="D54" s="30" t="s">
        <v>95</v>
      </c>
      <c r="E54" s="30">
        <f>COUNTIF(Questions!D:D,D54)</f>
        <v>2</v>
      </c>
      <c r="F54" s="29"/>
    </row>
    <row r="55" spans="1:6" ht="21.95" customHeight="1" x14ac:dyDescent="0.25">
      <c r="A55" s="28" t="s">
        <v>96</v>
      </c>
      <c r="B55" s="28"/>
      <c r="C55" s="29" t="s">
        <v>94</v>
      </c>
      <c r="D55" s="30" t="s">
        <v>95</v>
      </c>
      <c r="E55" s="30">
        <f>COUNTIF(Questions!D:D,D55)</f>
        <v>2</v>
      </c>
      <c r="F55" s="29"/>
    </row>
    <row r="56" spans="1:6" ht="21.95" customHeight="1" x14ac:dyDescent="0.25">
      <c r="A56" s="28" t="s">
        <v>97</v>
      </c>
      <c r="B56" s="28"/>
      <c r="C56" s="29" t="s">
        <v>94</v>
      </c>
      <c r="D56" s="30" t="s">
        <v>98</v>
      </c>
      <c r="E56" s="30">
        <f>COUNTIF(Questions!D:D,D56)</f>
        <v>2</v>
      </c>
      <c r="F56" s="29"/>
    </row>
    <row r="57" spans="1:6" ht="21.95" customHeight="1" x14ac:dyDescent="0.25">
      <c r="A57" s="28" t="s">
        <v>99</v>
      </c>
      <c r="B57" s="28"/>
      <c r="C57" s="29" t="s">
        <v>94</v>
      </c>
      <c r="D57" s="30" t="s">
        <v>98</v>
      </c>
      <c r="E57" s="30">
        <f>COUNTIF(Questions!D:D,D57)</f>
        <v>2</v>
      </c>
      <c r="F57" s="29"/>
    </row>
    <row r="58" spans="1:6" ht="21.95" customHeight="1" x14ac:dyDescent="0.25">
      <c r="A58" s="16" t="s">
        <v>100</v>
      </c>
      <c r="B58" s="16"/>
      <c r="C58" s="17" t="s">
        <v>101</v>
      </c>
      <c r="D58" s="18" t="s">
        <v>102</v>
      </c>
      <c r="E58" s="18">
        <f>COUNTIF(Questions!D:D,D58)</f>
        <v>2</v>
      </c>
      <c r="F58" s="17"/>
    </row>
    <row r="59" spans="1:6" ht="21.95" customHeight="1" x14ac:dyDescent="0.25">
      <c r="A59" s="16" t="s">
        <v>103</v>
      </c>
      <c r="B59" s="16"/>
      <c r="C59" s="17" t="s">
        <v>101</v>
      </c>
      <c r="D59" s="18" t="s">
        <v>102</v>
      </c>
      <c r="E59" s="18">
        <f>COUNTIF(Questions!D:D,D59)</f>
        <v>2</v>
      </c>
      <c r="F59" s="17"/>
    </row>
    <row r="60" spans="1:6" ht="21.95" customHeight="1" x14ac:dyDescent="0.25">
      <c r="A60" s="43" t="s">
        <v>104</v>
      </c>
      <c r="B60" s="43"/>
      <c r="C60" s="44" t="s">
        <v>6</v>
      </c>
      <c r="D60" s="45" t="s">
        <v>105</v>
      </c>
      <c r="E60" s="45">
        <f>COUNTIF(Questions!D:D,D60)</f>
        <v>2</v>
      </c>
      <c r="F60" s="44"/>
    </row>
    <row r="61" spans="1:6" ht="21.95" customHeight="1" x14ac:dyDescent="0.25">
      <c r="A61" s="43" t="s">
        <v>106</v>
      </c>
      <c r="B61" s="43"/>
      <c r="C61" s="44" t="s">
        <v>6</v>
      </c>
      <c r="D61" s="45" t="s">
        <v>105</v>
      </c>
      <c r="E61" s="45">
        <f>COUNTIF(Questions!D:D,D61)</f>
        <v>2</v>
      </c>
      <c r="F61" s="44"/>
    </row>
    <row r="62" spans="1:6" ht="21.95" customHeight="1" x14ac:dyDescent="0.25">
      <c r="A62" s="52" t="s">
        <v>107</v>
      </c>
      <c r="B62" s="52"/>
      <c r="C62" s="53" t="s">
        <v>50</v>
      </c>
      <c r="D62" s="54" t="s">
        <v>108</v>
      </c>
      <c r="E62" s="54">
        <f>COUNTIF(Questions!D:D,D62)</f>
        <v>2</v>
      </c>
      <c r="F62" s="53"/>
    </row>
    <row r="63" spans="1:6" ht="21.95" customHeight="1" x14ac:dyDescent="0.25">
      <c r="A63" s="52" t="s">
        <v>109</v>
      </c>
      <c r="B63" s="52"/>
      <c r="C63" s="53" t="s">
        <v>50</v>
      </c>
      <c r="D63" s="54" t="s">
        <v>108</v>
      </c>
      <c r="E63" s="54">
        <f>COUNTIF(Questions!D:D,D63)</f>
        <v>2</v>
      </c>
      <c r="F63" s="53" t="s">
        <v>110</v>
      </c>
    </row>
    <row r="64" spans="1:6" ht="21.95" customHeight="1" x14ac:dyDescent="0.25">
      <c r="A64" s="43" t="s">
        <v>111</v>
      </c>
      <c r="B64" s="43"/>
      <c r="C64" s="44" t="s">
        <v>6</v>
      </c>
      <c r="D64" s="45" t="s">
        <v>112</v>
      </c>
      <c r="E64" s="45">
        <f>COUNTIF(Questions!D:D,D64)</f>
        <v>2</v>
      </c>
      <c r="F64" s="44"/>
    </row>
    <row r="65" spans="1:6" ht="21.95" customHeight="1" x14ac:dyDescent="0.25">
      <c r="A65" s="43" t="s">
        <v>113</v>
      </c>
      <c r="B65" s="43"/>
      <c r="C65" s="44" t="s">
        <v>6</v>
      </c>
      <c r="D65" s="45" t="s">
        <v>112</v>
      </c>
      <c r="E65" s="45">
        <f>COUNTIF(Questions!D:D,D65)</f>
        <v>2</v>
      </c>
      <c r="F65" s="44"/>
    </row>
    <row r="66" spans="1:6" ht="21.95" customHeight="1" x14ac:dyDescent="0.25">
      <c r="A66" s="25" t="s">
        <v>114</v>
      </c>
      <c r="B66" s="25"/>
      <c r="C66" s="26" t="s">
        <v>115</v>
      </c>
      <c r="D66" s="27" t="s">
        <v>116</v>
      </c>
      <c r="E66" s="27">
        <f>COUNTIF(Questions!D:D,D66)</f>
        <v>2</v>
      </c>
      <c r="F66" s="26"/>
    </row>
    <row r="67" spans="1:6" ht="21.95" customHeight="1" x14ac:dyDescent="0.25">
      <c r="A67" s="25" t="s">
        <v>117</v>
      </c>
      <c r="B67" s="25"/>
      <c r="C67" s="26" t="s">
        <v>115</v>
      </c>
      <c r="D67" s="27" t="s">
        <v>116</v>
      </c>
      <c r="E67" s="27">
        <f>COUNTIF(Questions!D:D,D67)</f>
        <v>2</v>
      </c>
      <c r="F67" s="26"/>
    </row>
    <row r="68" spans="1:6" ht="21.95" customHeight="1" x14ac:dyDescent="0.25">
      <c r="A68" s="25" t="s">
        <v>118</v>
      </c>
      <c r="B68" s="25"/>
      <c r="C68" s="26" t="s">
        <v>10</v>
      </c>
      <c r="D68" s="27" t="s">
        <v>119</v>
      </c>
      <c r="E68" s="27">
        <f>COUNTIF(Questions!D:D,D68)</f>
        <v>2</v>
      </c>
      <c r="F68" s="26"/>
    </row>
    <row r="69" spans="1:6" ht="21.95" customHeight="1" x14ac:dyDescent="0.25">
      <c r="A69" s="25" t="s">
        <v>120</v>
      </c>
      <c r="B69" s="25"/>
      <c r="C69" s="26" t="s">
        <v>10</v>
      </c>
      <c r="D69" s="27" t="s">
        <v>119</v>
      </c>
      <c r="E69" s="27">
        <f>COUNTIF(Questions!D:D,D69)</f>
        <v>2</v>
      </c>
      <c r="F69" s="26"/>
    </row>
    <row r="70" spans="1:6" ht="21.95" customHeight="1" x14ac:dyDescent="0.25">
      <c r="A70" s="25" t="s">
        <v>121</v>
      </c>
      <c r="B70" s="25"/>
      <c r="C70" s="26" t="s">
        <v>115</v>
      </c>
      <c r="D70" s="27" t="s">
        <v>122</v>
      </c>
      <c r="E70" s="27">
        <f>COUNTIF(Questions!D:D,D70)</f>
        <v>2</v>
      </c>
      <c r="F70" s="26"/>
    </row>
    <row r="71" spans="1:6" ht="21.95" customHeight="1" x14ac:dyDescent="0.25">
      <c r="A71" s="25" t="s">
        <v>123</v>
      </c>
      <c r="B71" s="25"/>
      <c r="C71" s="26" t="s">
        <v>115</v>
      </c>
      <c r="D71" s="27" t="s">
        <v>122</v>
      </c>
      <c r="E71" s="27">
        <f>COUNTIF(Questions!D:D,D71)</f>
        <v>2</v>
      </c>
      <c r="F71" s="26"/>
    </row>
    <row r="72" spans="1:6" ht="21.95" customHeight="1" x14ac:dyDescent="0.25">
      <c r="A72" s="22" t="s">
        <v>124</v>
      </c>
      <c r="B72" s="22"/>
      <c r="C72" s="23" t="s">
        <v>10</v>
      </c>
      <c r="D72" s="24" t="s">
        <v>125</v>
      </c>
      <c r="E72" s="24">
        <f>COUNTIF(Questions!D:D,D72)</f>
        <v>2</v>
      </c>
      <c r="F72" s="23" t="s">
        <v>126</v>
      </c>
    </row>
    <row r="73" spans="1:6" ht="21.95" customHeight="1" x14ac:dyDescent="0.25">
      <c r="A73" s="22" t="s">
        <v>127</v>
      </c>
      <c r="B73" s="22"/>
      <c r="C73" s="23" t="s">
        <v>10</v>
      </c>
      <c r="D73" s="24" t="s">
        <v>125</v>
      </c>
      <c r="E73" s="24">
        <f>COUNTIF(Questions!D:D,D73)</f>
        <v>2</v>
      </c>
      <c r="F73" s="23"/>
    </row>
    <row r="74" spans="1:6" ht="21.95" customHeight="1" x14ac:dyDescent="0.25">
      <c r="A74" s="37" t="s">
        <v>128</v>
      </c>
      <c r="B74" s="37"/>
      <c r="C74" s="38" t="s">
        <v>31</v>
      </c>
      <c r="D74" s="39" t="s">
        <v>129</v>
      </c>
      <c r="E74" s="39">
        <f>COUNTIF(Questions!D:D,D74)</f>
        <v>2</v>
      </c>
      <c r="F74" s="38"/>
    </row>
    <row r="75" spans="1:6" ht="21.95" customHeight="1" x14ac:dyDescent="0.25">
      <c r="A75" s="37" t="s">
        <v>130</v>
      </c>
      <c r="B75" s="37"/>
      <c r="C75" s="38" t="s">
        <v>31</v>
      </c>
      <c r="D75" s="39" t="s">
        <v>129</v>
      </c>
      <c r="E75" s="39">
        <f>COUNTIF(Questions!D:D,D75)</f>
        <v>2</v>
      </c>
      <c r="F75" s="38"/>
    </row>
    <row r="76" spans="1:6" ht="21.95" customHeight="1" x14ac:dyDescent="0.25">
      <c r="A76" s="46" t="s">
        <v>131</v>
      </c>
      <c r="B76" s="46"/>
      <c r="C76" s="47" t="s">
        <v>14</v>
      </c>
      <c r="D76" s="48" t="s">
        <v>132</v>
      </c>
      <c r="E76" s="48">
        <f>COUNTIF(Questions!D:D,D76)</f>
        <v>2</v>
      </c>
      <c r="F76" s="47"/>
    </row>
    <row r="77" spans="1:6" ht="21.95" customHeight="1" x14ac:dyDescent="0.25">
      <c r="A77" s="46" t="s">
        <v>133</v>
      </c>
      <c r="B77" s="46"/>
      <c r="C77" s="47" t="s">
        <v>14</v>
      </c>
      <c r="D77" s="48" t="s">
        <v>132</v>
      </c>
      <c r="E77" s="48">
        <f>COUNTIF(Questions!D:D,D77)</f>
        <v>2</v>
      </c>
      <c r="F77" s="47"/>
    </row>
    <row r="78" spans="1:6" ht="21.95" customHeight="1" x14ac:dyDescent="0.25">
      <c r="A78" s="25" t="s">
        <v>134</v>
      </c>
      <c r="B78" s="25"/>
      <c r="C78" s="26" t="s">
        <v>115</v>
      </c>
      <c r="D78" s="27" t="s">
        <v>135</v>
      </c>
      <c r="E78" s="27">
        <f>COUNTIF(Questions!D:D,D78)</f>
        <v>2</v>
      </c>
      <c r="F78" s="26"/>
    </row>
    <row r="79" spans="1:6" ht="21.95" customHeight="1" x14ac:dyDescent="0.25">
      <c r="A79" s="25" t="s">
        <v>136</v>
      </c>
      <c r="B79" s="25"/>
      <c r="C79" s="26" t="s">
        <v>115</v>
      </c>
      <c r="D79" s="27" t="s">
        <v>135</v>
      </c>
      <c r="E79" s="27">
        <f>COUNTIF(Questions!D:D,D79)</f>
        <v>2</v>
      </c>
      <c r="F79" s="26"/>
    </row>
    <row r="80" spans="1:6" ht="21.95" customHeight="1" x14ac:dyDescent="0.25">
      <c r="A80" s="31" t="s">
        <v>137</v>
      </c>
      <c r="B80" s="31"/>
      <c r="C80" s="32" t="s">
        <v>94</v>
      </c>
      <c r="D80" s="33" t="s">
        <v>138</v>
      </c>
      <c r="E80" s="33">
        <f>COUNTIF(Questions!D:D,D80)</f>
        <v>2</v>
      </c>
      <c r="F80" s="32"/>
    </row>
    <row r="81" spans="1:6" ht="21.95" customHeight="1" x14ac:dyDescent="0.25">
      <c r="A81" s="31" t="s">
        <v>139</v>
      </c>
      <c r="B81" s="31"/>
      <c r="C81" s="32" t="s">
        <v>94</v>
      </c>
      <c r="D81" s="33" t="s">
        <v>138</v>
      </c>
      <c r="E81" s="33">
        <f>COUNTIF(Questions!D:D,D81)</f>
        <v>2</v>
      </c>
      <c r="F81" s="32"/>
    </row>
    <row r="82" spans="1:6" ht="21.95" customHeight="1" x14ac:dyDescent="0.25">
      <c r="A82" s="25" t="s">
        <v>140</v>
      </c>
      <c r="B82" s="25"/>
      <c r="C82" s="26" t="s">
        <v>10</v>
      </c>
      <c r="D82" s="27" t="s">
        <v>141</v>
      </c>
      <c r="E82" s="27">
        <f>COUNTIF(Questions!D:D,D82)</f>
        <v>2</v>
      </c>
      <c r="F82" s="26"/>
    </row>
    <row r="83" spans="1:6" ht="21.95" customHeight="1" x14ac:dyDescent="0.25">
      <c r="A83" s="25" t="s">
        <v>142</v>
      </c>
      <c r="B83" s="25"/>
      <c r="C83" s="26" t="s">
        <v>10</v>
      </c>
      <c r="D83" s="27" t="s">
        <v>141</v>
      </c>
      <c r="E83" s="27">
        <f>COUNTIF(Questions!D:D,D83)</f>
        <v>2</v>
      </c>
      <c r="F83" s="26"/>
    </row>
    <row r="84" spans="1:6" ht="21.95" customHeight="1" x14ac:dyDescent="0.25">
      <c r="A84" s="34" t="s">
        <v>143</v>
      </c>
      <c r="B84" s="34"/>
      <c r="C84" s="35" t="s">
        <v>35</v>
      </c>
      <c r="D84" s="36" t="s">
        <v>144</v>
      </c>
      <c r="E84" s="36">
        <f>COUNTIF(Questions!D:D,D84)</f>
        <v>2</v>
      </c>
      <c r="F84" s="35"/>
    </row>
    <row r="85" spans="1:6" ht="21.95" customHeight="1" x14ac:dyDescent="0.25">
      <c r="A85" s="34" t="s">
        <v>145</v>
      </c>
      <c r="B85" s="34"/>
      <c r="C85" s="35" t="s">
        <v>35</v>
      </c>
      <c r="D85" s="36" t="s">
        <v>144</v>
      </c>
      <c r="E85" s="36">
        <f>COUNTIF(Questions!D:D,D85)</f>
        <v>2</v>
      </c>
      <c r="F85" s="35"/>
    </row>
    <row r="86" spans="1:6" ht="21.95" customHeight="1" x14ac:dyDescent="0.25">
      <c r="A86" s="34" t="s">
        <v>146</v>
      </c>
      <c r="B86" s="34"/>
      <c r="C86" s="35" t="s">
        <v>35</v>
      </c>
      <c r="D86" s="36" t="s">
        <v>147</v>
      </c>
      <c r="E86" s="36">
        <f>COUNTIF(Questions!D:D,D86)</f>
        <v>2</v>
      </c>
      <c r="F86" s="35"/>
    </row>
    <row r="87" spans="1:6" ht="21.95" customHeight="1" x14ac:dyDescent="0.25">
      <c r="A87" s="34" t="s">
        <v>148</v>
      </c>
      <c r="B87" s="34"/>
      <c r="C87" s="35" t="s">
        <v>35</v>
      </c>
      <c r="D87" s="36" t="s">
        <v>147</v>
      </c>
      <c r="E87" s="36">
        <f>COUNTIF(Questions!D:D,D87)</f>
        <v>2</v>
      </c>
      <c r="F87" s="35"/>
    </row>
    <row r="88" spans="1:6" ht="21.95" customHeight="1" x14ac:dyDescent="0.25">
      <c r="A88" s="28" t="s">
        <v>149</v>
      </c>
      <c r="B88" s="28"/>
      <c r="C88" s="29" t="s">
        <v>115</v>
      </c>
      <c r="D88" s="30" t="s">
        <v>150</v>
      </c>
      <c r="E88" s="30">
        <f>COUNTIF(Questions!D:D,D88)</f>
        <v>2</v>
      </c>
      <c r="F88" s="29"/>
    </row>
    <row r="89" spans="1:6" ht="21.95" customHeight="1" x14ac:dyDescent="0.25">
      <c r="A89" s="28" t="s">
        <v>151</v>
      </c>
      <c r="B89" s="28"/>
      <c r="C89" s="29" t="s">
        <v>115</v>
      </c>
      <c r="D89" s="30" t="s">
        <v>150</v>
      </c>
      <c r="E89" s="30">
        <f>COUNTIF(Questions!D:D,D89)</f>
        <v>2</v>
      </c>
      <c r="F89" s="29"/>
    </row>
    <row r="90" spans="1:6" ht="21.95" customHeight="1" x14ac:dyDescent="0.25">
      <c r="A90" s="19" t="s">
        <v>152</v>
      </c>
      <c r="B90" s="19"/>
      <c r="C90" s="20" t="s">
        <v>35</v>
      </c>
      <c r="D90" s="21" t="s">
        <v>153</v>
      </c>
      <c r="E90" s="21">
        <f>COUNTIF(Questions!D:D,D90)</f>
        <v>2</v>
      </c>
      <c r="F90" s="20"/>
    </row>
    <row r="91" spans="1:6" ht="21.95" customHeight="1" x14ac:dyDescent="0.25">
      <c r="A91" s="19" t="s">
        <v>154</v>
      </c>
      <c r="B91" s="19"/>
      <c r="C91" s="20" t="s">
        <v>35</v>
      </c>
      <c r="D91" s="21" t="s">
        <v>153</v>
      </c>
      <c r="E91" s="21">
        <f>COUNTIF(Questions!D:D,D91)</f>
        <v>2</v>
      </c>
      <c r="F91" s="20"/>
    </row>
    <row r="92" spans="1:6" ht="21.95" customHeight="1" x14ac:dyDescent="0.25">
      <c r="A92" s="40" t="s">
        <v>155</v>
      </c>
      <c r="B92" s="40"/>
      <c r="C92" s="41" t="s">
        <v>115</v>
      </c>
      <c r="D92" s="42" t="s">
        <v>156</v>
      </c>
      <c r="E92" s="42">
        <f>COUNTIF(Questions!D:D,D92)</f>
        <v>2</v>
      </c>
      <c r="F92" s="41"/>
    </row>
    <row r="93" spans="1:6" ht="21.95" customHeight="1" x14ac:dyDescent="0.25">
      <c r="A93" s="40" t="s">
        <v>157</v>
      </c>
      <c r="B93" s="40"/>
      <c r="C93" s="41" t="s">
        <v>115</v>
      </c>
      <c r="D93" s="42" t="s">
        <v>156</v>
      </c>
      <c r="E93" s="42">
        <f>COUNTIF(Questions!D:D,D93)</f>
        <v>2</v>
      </c>
      <c r="F93" s="41"/>
    </row>
    <row r="94" spans="1:6" ht="21.95" customHeight="1" x14ac:dyDescent="0.25">
      <c r="A94" s="37" t="s">
        <v>158</v>
      </c>
      <c r="B94" s="37"/>
      <c r="C94" s="38" t="s">
        <v>31</v>
      </c>
      <c r="D94" s="39" t="s">
        <v>159</v>
      </c>
      <c r="E94" s="39">
        <f>COUNTIF(Questions!D:D,D94)</f>
        <v>2</v>
      </c>
      <c r="F94" s="38"/>
    </row>
    <row r="95" spans="1:6" ht="21.95" customHeight="1" x14ac:dyDescent="0.25">
      <c r="A95" s="37" t="s">
        <v>160</v>
      </c>
      <c r="B95" s="37"/>
      <c r="C95" s="38" t="s">
        <v>31</v>
      </c>
      <c r="D95" s="39" t="s">
        <v>159</v>
      </c>
      <c r="E95" s="39">
        <f>COUNTIF(Questions!D:D,D95)</f>
        <v>2</v>
      </c>
      <c r="F95" s="38">
        <v>23</v>
      </c>
    </row>
    <row r="96" spans="1:6" ht="21.95" customHeight="1" x14ac:dyDescent="0.25">
      <c r="A96" s="43" t="s">
        <v>161</v>
      </c>
      <c r="B96" s="43"/>
      <c r="C96" s="44" t="s">
        <v>6</v>
      </c>
      <c r="D96" s="45" t="s">
        <v>162</v>
      </c>
      <c r="E96" s="45">
        <f>COUNTIF(Questions!D:D,D96)</f>
        <v>2</v>
      </c>
      <c r="F96" s="44"/>
    </row>
    <row r="97" spans="1:6" ht="21.95" customHeight="1" x14ac:dyDescent="0.25">
      <c r="A97" s="43" t="s">
        <v>163</v>
      </c>
      <c r="B97" s="43"/>
      <c r="C97" s="44" t="s">
        <v>6</v>
      </c>
      <c r="D97" s="45" t="s">
        <v>162</v>
      </c>
      <c r="E97" s="45">
        <f>COUNTIF(Questions!D:D,D97)</f>
        <v>2</v>
      </c>
      <c r="F97" s="44"/>
    </row>
    <row r="98" spans="1:6" ht="21.95" customHeight="1" x14ac:dyDescent="0.25">
      <c r="A98" s="37" t="s">
        <v>164</v>
      </c>
      <c r="B98" s="37"/>
      <c r="C98" s="38" t="s">
        <v>6</v>
      </c>
      <c r="D98" s="39" t="s">
        <v>165</v>
      </c>
      <c r="E98" s="39">
        <f>COUNTIF(Questions!D:D,D98)</f>
        <v>2</v>
      </c>
      <c r="F98" s="38"/>
    </row>
    <row r="99" spans="1:6" ht="21.95" customHeight="1" x14ac:dyDescent="0.25">
      <c r="A99" s="37" t="s">
        <v>166</v>
      </c>
      <c r="B99" s="37"/>
      <c r="C99" s="38" t="s">
        <v>6</v>
      </c>
      <c r="D99" s="39" t="s">
        <v>165</v>
      </c>
      <c r="E99" s="39">
        <f>COUNTIF(Questions!D:D,D99)</f>
        <v>2</v>
      </c>
      <c r="F99" s="38" t="s">
        <v>167</v>
      </c>
    </row>
    <row r="100" spans="1:6" ht="21.95" customHeight="1" x14ac:dyDescent="0.25">
      <c r="A100" s="40" t="s">
        <v>168</v>
      </c>
      <c r="B100" s="40"/>
      <c r="C100" s="41" t="s">
        <v>94</v>
      </c>
      <c r="D100" s="42" t="s">
        <v>169</v>
      </c>
      <c r="E100" s="42">
        <f>COUNTIF(Questions!D:D,D100)</f>
        <v>2</v>
      </c>
      <c r="F100" s="41"/>
    </row>
    <row r="101" spans="1:6" ht="21.95" customHeight="1" x14ac:dyDescent="0.25">
      <c r="A101" s="40" t="s">
        <v>170</v>
      </c>
      <c r="B101" s="40"/>
      <c r="C101" s="41" t="s">
        <v>94</v>
      </c>
      <c r="D101" s="42" t="s">
        <v>169</v>
      </c>
      <c r="E101" s="42">
        <f>COUNTIF(Questions!D:D,D101)</f>
        <v>2</v>
      </c>
      <c r="F101" s="41"/>
    </row>
    <row r="102" spans="1:6" ht="21.95" customHeight="1" x14ac:dyDescent="0.25">
      <c r="A102" s="40" t="s">
        <v>171</v>
      </c>
      <c r="B102" s="40"/>
      <c r="C102" s="41" t="s">
        <v>78</v>
      </c>
      <c r="D102" s="42" t="s">
        <v>172</v>
      </c>
      <c r="E102" s="42">
        <f>COUNTIF(Questions!D:D,D102)</f>
        <v>2</v>
      </c>
      <c r="F102" s="41"/>
    </row>
    <row r="103" spans="1:6" ht="21.95" customHeight="1" x14ac:dyDescent="0.25">
      <c r="A103" s="40" t="s">
        <v>173</v>
      </c>
      <c r="B103" s="40"/>
      <c r="C103" s="41" t="s">
        <v>78</v>
      </c>
      <c r="D103" s="42" t="s">
        <v>172</v>
      </c>
      <c r="E103" s="42">
        <f>COUNTIF(Questions!D:D,D103)</f>
        <v>2</v>
      </c>
      <c r="F103" s="41"/>
    </row>
    <row r="104" spans="1:6" ht="21.95" customHeight="1" x14ac:dyDescent="0.25">
      <c r="A104" s="52" t="s">
        <v>174</v>
      </c>
      <c r="B104" s="52"/>
      <c r="C104" s="53" t="s">
        <v>50</v>
      </c>
      <c r="D104" s="54" t="s">
        <v>175</v>
      </c>
      <c r="E104" s="54">
        <f>COUNTIF(Questions!D:D,D104)</f>
        <v>2</v>
      </c>
      <c r="F104" s="53"/>
    </row>
    <row r="105" spans="1:6" ht="21.95" customHeight="1" x14ac:dyDescent="0.25">
      <c r="A105" s="52" t="s">
        <v>176</v>
      </c>
      <c r="B105" s="52"/>
      <c r="C105" s="53" t="s">
        <v>50</v>
      </c>
      <c r="D105" s="54" t="s">
        <v>175</v>
      </c>
      <c r="E105" s="54">
        <f>COUNTIF(Questions!D:D,D105)</f>
        <v>2</v>
      </c>
      <c r="F105" s="53"/>
    </row>
    <row r="106" spans="1:6" ht="21.95" customHeight="1" x14ac:dyDescent="0.25">
      <c r="A106" s="16" t="s">
        <v>177</v>
      </c>
      <c r="B106" s="16"/>
      <c r="C106" s="17" t="s">
        <v>50</v>
      </c>
      <c r="D106" s="18" t="s">
        <v>178</v>
      </c>
      <c r="E106" s="18">
        <f>COUNTIF(Questions!D:D,D106)</f>
        <v>2</v>
      </c>
      <c r="F106" s="17"/>
    </row>
    <row r="107" spans="1:6" ht="21.95" customHeight="1" x14ac:dyDescent="0.25">
      <c r="A107" s="16" t="s">
        <v>179</v>
      </c>
      <c r="B107" s="16"/>
      <c r="C107" s="17" t="s">
        <v>50</v>
      </c>
      <c r="D107" s="18" t="s">
        <v>178</v>
      </c>
      <c r="E107" s="18">
        <f>COUNTIF(Questions!D:D,D107)</f>
        <v>2</v>
      </c>
      <c r="F107" s="17">
        <v>23</v>
      </c>
    </row>
    <row r="108" spans="1:6" ht="21.95" customHeight="1" x14ac:dyDescent="0.25">
      <c r="A108" s="34" t="s">
        <v>180</v>
      </c>
      <c r="B108" s="34"/>
      <c r="C108" s="35" t="s">
        <v>35</v>
      </c>
      <c r="D108" s="36" t="s">
        <v>181</v>
      </c>
      <c r="E108" s="36">
        <f>COUNTIF(Questions!D:D,D108)</f>
        <v>2</v>
      </c>
      <c r="F108" s="35"/>
    </row>
    <row r="109" spans="1:6" ht="21.95" customHeight="1" x14ac:dyDescent="0.25">
      <c r="A109" s="34" t="s">
        <v>182</v>
      </c>
      <c r="B109" s="34"/>
      <c r="C109" s="35" t="s">
        <v>35</v>
      </c>
      <c r="D109" s="36" t="s">
        <v>181</v>
      </c>
      <c r="E109" s="36">
        <f>COUNTIF(Questions!D:D,D109)</f>
        <v>2</v>
      </c>
      <c r="F109" s="35"/>
    </row>
    <row r="110" spans="1:6" ht="21.95" customHeight="1" x14ac:dyDescent="0.25">
      <c r="A110" s="40" t="s">
        <v>183</v>
      </c>
      <c r="B110" s="40"/>
      <c r="C110" s="41" t="s">
        <v>78</v>
      </c>
      <c r="D110" s="42" t="s">
        <v>184</v>
      </c>
      <c r="E110" s="42">
        <f>COUNTIF(Questions!D:D,D110)</f>
        <v>2</v>
      </c>
      <c r="F110" s="41"/>
    </row>
    <row r="111" spans="1:6" ht="21.95" customHeight="1" x14ac:dyDescent="0.25">
      <c r="A111" s="40" t="s">
        <v>185</v>
      </c>
      <c r="B111" s="40"/>
      <c r="C111" s="41" t="s">
        <v>78</v>
      </c>
      <c r="D111" s="42" t="s">
        <v>184</v>
      </c>
      <c r="E111" s="42">
        <f>COUNTIF(Questions!D:D,D111)</f>
        <v>2</v>
      </c>
      <c r="F111" s="41"/>
    </row>
    <row r="112" spans="1:6" ht="21.95" customHeight="1" x14ac:dyDescent="0.25">
      <c r="A112" s="28" t="s">
        <v>186</v>
      </c>
      <c r="B112" s="28"/>
      <c r="C112" s="29" t="s">
        <v>94</v>
      </c>
      <c r="D112" s="30" t="s">
        <v>187</v>
      </c>
      <c r="E112" s="30">
        <f>COUNTIF(Questions!D:D,D112)</f>
        <v>2</v>
      </c>
      <c r="F112" s="29"/>
    </row>
    <row r="113" spans="1:6" ht="21.95" customHeight="1" x14ac:dyDescent="0.25">
      <c r="A113" s="28" t="s">
        <v>188</v>
      </c>
      <c r="B113" s="28"/>
      <c r="C113" s="29" t="s">
        <v>94</v>
      </c>
      <c r="D113" s="30" t="s">
        <v>187</v>
      </c>
      <c r="E113" s="30">
        <f>COUNTIF(Questions!D:D,D113)</f>
        <v>2</v>
      </c>
      <c r="F113" s="29" t="s">
        <v>110</v>
      </c>
    </row>
    <row r="114" spans="1:6" ht="21.95" customHeight="1" x14ac:dyDescent="0.25">
      <c r="A114" s="16" t="s">
        <v>189</v>
      </c>
      <c r="B114" s="16"/>
      <c r="C114" s="17" t="s">
        <v>50</v>
      </c>
      <c r="D114" s="18" t="s">
        <v>190</v>
      </c>
      <c r="E114" s="18">
        <f>COUNTIF(Questions!D:D,D114)</f>
        <v>2</v>
      </c>
      <c r="F114" s="17"/>
    </row>
    <row r="115" spans="1:6" ht="21.95" customHeight="1" x14ac:dyDescent="0.25">
      <c r="A115" s="16" t="s">
        <v>191</v>
      </c>
      <c r="B115" s="16"/>
      <c r="C115" s="17" t="s">
        <v>50</v>
      </c>
      <c r="D115" s="18" t="s">
        <v>190</v>
      </c>
      <c r="E115" s="18">
        <f>COUNTIF(Questions!D:D,D115)</f>
        <v>2</v>
      </c>
      <c r="F115" s="17">
        <v>23</v>
      </c>
    </row>
    <row r="116" spans="1:6" ht="21.95" customHeight="1" x14ac:dyDescent="0.25">
      <c r="A116" s="46" t="s">
        <v>192</v>
      </c>
      <c r="B116" s="46"/>
      <c r="C116" s="47" t="s">
        <v>14</v>
      </c>
      <c r="D116" s="48" t="s">
        <v>193</v>
      </c>
      <c r="E116" s="48">
        <f>COUNTIF(Questions!D:D,D116)</f>
        <v>2</v>
      </c>
      <c r="F116" s="47"/>
    </row>
    <row r="117" spans="1:6" ht="21.95" customHeight="1" x14ac:dyDescent="0.25">
      <c r="A117" s="46" t="s">
        <v>194</v>
      </c>
      <c r="B117" s="46"/>
      <c r="C117" s="47" t="s">
        <v>14</v>
      </c>
      <c r="D117" s="48" t="s">
        <v>193</v>
      </c>
      <c r="E117" s="48">
        <f>COUNTIF(Questions!D:D,D117)</f>
        <v>2</v>
      </c>
      <c r="F117" s="47"/>
    </row>
    <row r="118" spans="1:6" ht="21.95" customHeight="1" x14ac:dyDescent="0.25">
      <c r="A118" s="37" t="s">
        <v>195</v>
      </c>
      <c r="B118" s="37"/>
      <c r="C118" s="38" t="s">
        <v>31</v>
      </c>
      <c r="D118" s="39" t="s">
        <v>196</v>
      </c>
      <c r="E118" s="39">
        <f>COUNTIF(Questions!D:D,D118)</f>
        <v>2</v>
      </c>
      <c r="F118" s="38"/>
    </row>
    <row r="119" spans="1:6" ht="21.95" customHeight="1" x14ac:dyDescent="0.25">
      <c r="A119" s="37" t="s">
        <v>197</v>
      </c>
      <c r="B119" s="37"/>
      <c r="C119" s="38" t="s">
        <v>31</v>
      </c>
      <c r="D119" s="39" t="s">
        <v>196</v>
      </c>
      <c r="E119" s="39">
        <f>COUNTIF(Questions!D:D,D119)</f>
        <v>2</v>
      </c>
      <c r="F119" s="38"/>
    </row>
    <row r="120" spans="1:6" ht="21.95" customHeight="1" x14ac:dyDescent="0.25">
      <c r="A120" s="40" t="s">
        <v>198</v>
      </c>
      <c r="B120" s="40"/>
      <c r="C120" s="41" t="s">
        <v>115</v>
      </c>
      <c r="D120" s="42" t="s">
        <v>199</v>
      </c>
      <c r="E120" s="42">
        <f>COUNTIF(Questions!D:D,D120)</f>
        <v>2</v>
      </c>
      <c r="F120" s="41"/>
    </row>
    <row r="121" spans="1:6" ht="21.95" customHeight="1" x14ac:dyDescent="0.25">
      <c r="A121" s="40" t="s">
        <v>200</v>
      </c>
      <c r="B121" s="40"/>
      <c r="C121" s="41" t="s">
        <v>115</v>
      </c>
      <c r="D121" s="42" t="s">
        <v>199</v>
      </c>
      <c r="E121" s="42">
        <f>COUNTIF(Questions!D:D,D121)</f>
        <v>2</v>
      </c>
      <c r="F121" s="41">
        <v>23</v>
      </c>
    </row>
    <row r="122" spans="1:6" ht="21.95" customHeight="1" x14ac:dyDescent="0.25">
      <c r="A122" s="40" t="s">
        <v>201</v>
      </c>
      <c r="B122" s="40"/>
      <c r="C122" s="41" t="s">
        <v>78</v>
      </c>
      <c r="D122" s="42" t="s">
        <v>202</v>
      </c>
      <c r="E122" s="42">
        <f>COUNTIF(Questions!D:D,D122)</f>
        <v>2</v>
      </c>
      <c r="F122" s="41"/>
    </row>
    <row r="123" spans="1:6" ht="21.95" customHeight="1" x14ac:dyDescent="0.25">
      <c r="A123" s="40" t="s">
        <v>203</v>
      </c>
      <c r="B123" s="40"/>
      <c r="C123" s="41" t="s">
        <v>78</v>
      </c>
      <c r="D123" s="42" t="s">
        <v>202</v>
      </c>
      <c r="E123" s="42">
        <f>COUNTIF(Questions!D:D,D123)</f>
        <v>2</v>
      </c>
      <c r="F123" s="41">
        <v>23</v>
      </c>
    </row>
    <row r="124" spans="1:6" ht="21.95" customHeight="1" x14ac:dyDescent="0.25">
      <c r="A124" s="40" t="s">
        <v>204</v>
      </c>
      <c r="B124" s="40"/>
      <c r="C124" s="41" t="s">
        <v>78</v>
      </c>
      <c r="D124" s="42" t="s">
        <v>205</v>
      </c>
      <c r="E124" s="42">
        <f>COUNTIF(Questions!D:D,D124)</f>
        <v>2</v>
      </c>
      <c r="F124" s="41"/>
    </row>
    <row r="125" spans="1:6" ht="21.95" customHeight="1" x14ac:dyDescent="0.25">
      <c r="A125" s="40" t="s">
        <v>206</v>
      </c>
      <c r="B125" s="40"/>
      <c r="C125" s="41" t="s">
        <v>78</v>
      </c>
      <c r="D125" s="42" t="s">
        <v>205</v>
      </c>
      <c r="E125" s="42">
        <f>COUNTIF(Questions!D:D,D125)</f>
        <v>2</v>
      </c>
      <c r="F125" s="41"/>
    </row>
    <row r="126" spans="1:6" ht="21.95" customHeight="1" x14ac:dyDescent="0.25">
      <c r="A126" s="28" t="s">
        <v>207</v>
      </c>
      <c r="B126" s="28"/>
      <c r="C126" s="29" t="s">
        <v>94</v>
      </c>
      <c r="D126" s="30" t="s">
        <v>208</v>
      </c>
      <c r="E126" s="30">
        <f>COUNTIF(Questions!D:D,D126)</f>
        <v>2</v>
      </c>
      <c r="F126" s="29"/>
    </row>
    <row r="127" spans="1:6" ht="21.95" customHeight="1" x14ac:dyDescent="0.25">
      <c r="A127" s="28" t="s">
        <v>209</v>
      </c>
      <c r="B127" s="28"/>
      <c r="C127" s="29" t="s">
        <v>94</v>
      </c>
      <c r="D127" s="30" t="s">
        <v>208</v>
      </c>
      <c r="E127" s="30">
        <f>COUNTIF(Questions!D:D,D127)</f>
        <v>2</v>
      </c>
      <c r="F127" s="29"/>
    </row>
    <row r="128" spans="1:6" ht="21.95" customHeight="1" x14ac:dyDescent="0.25">
      <c r="A128" s="43" t="s">
        <v>210</v>
      </c>
      <c r="B128" s="43"/>
      <c r="C128" s="44" t="s">
        <v>6</v>
      </c>
      <c r="D128" s="45" t="s">
        <v>211</v>
      </c>
      <c r="E128" s="45">
        <f>COUNTIF(Questions!D:D,D128)</f>
        <v>2</v>
      </c>
      <c r="F128" s="44"/>
    </row>
    <row r="129" spans="1:6" ht="21.95" customHeight="1" x14ac:dyDescent="0.25">
      <c r="A129" s="43" t="s">
        <v>212</v>
      </c>
      <c r="B129" s="43"/>
      <c r="C129" s="44" t="s">
        <v>6</v>
      </c>
      <c r="D129" s="45" t="s">
        <v>211</v>
      </c>
      <c r="E129" s="45">
        <f>COUNTIF(Questions!D:D,D129)</f>
        <v>2</v>
      </c>
      <c r="F129" s="44"/>
    </row>
    <row r="130" spans="1:6" ht="21.95" customHeight="1" x14ac:dyDescent="0.25">
      <c r="A130" s="37" t="s">
        <v>213</v>
      </c>
      <c r="B130" s="37"/>
      <c r="C130" s="38" t="s">
        <v>31</v>
      </c>
      <c r="D130" s="39" t="s">
        <v>214</v>
      </c>
      <c r="E130" s="39">
        <f>COUNTIF(Questions!D:D,D130)</f>
        <v>2</v>
      </c>
      <c r="F130" s="38"/>
    </row>
    <row r="131" spans="1:6" ht="21.95" customHeight="1" x14ac:dyDescent="0.25">
      <c r="A131" s="37" t="s">
        <v>215</v>
      </c>
      <c r="B131" s="37"/>
      <c r="C131" s="38" t="s">
        <v>31</v>
      </c>
      <c r="D131" s="39" t="s">
        <v>214</v>
      </c>
      <c r="E131" s="39">
        <f>COUNTIF(Questions!D:D,D131)</f>
        <v>2</v>
      </c>
      <c r="F131" s="38"/>
    </row>
    <row r="132" spans="1:6" ht="21.95" customHeight="1" x14ac:dyDescent="0.25">
      <c r="A132" s="43" t="s">
        <v>216</v>
      </c>
      <c r="B132" s="43"/>
      <c r="C132" s="44" t="s">
        <v>6</v>
      </c>
      <c r="D132" s="45" t="s">
        <v>217</v>
      </c>
      <c r="E132" s="45">
        <f>COUNTIF(Questions!D:D,D132)</f>
        <v>2</v>
      </c>
      <c r="F132" s="44"/>
    </row>
    <row r="133" spans="1:6" ht="21.95" customHeight="1" x14ac:dyDescent="0.25">
      <c r="A133" s="43" t="s">
        <v>218</v>
      </c>
      <c r="B133" s="43"/>
      <c r="C133" s="44" t="s">
        <v>6</v>
      </c>
      <c r="D133" s="45" t="s">
        <v>217</v>
      </c>
      <c r="E133" s="45">
        <f>COUNTIF(Questions!D:D,D133)</f>
        <v>2</v>
      </c>
      <c r="F133" s="44"/>
    </row>
    <row r="134" spans="1:6" ht="21.95" customHeight="1" x14ac:dyDescent="0.25">
      <c r="A134" s="40" t="s">
        <v>219</v>
      </c>
      <c r="B134" s="40"/>
      <c r="C134" s="41" t="s">
        <v>78</v>
      </c>
      <c r="D134" s="42" t="s">
        <v>220</v>
      </c>
      <c r="E134" s="42">
        <f>COUNTIF(Questions!D:D,D134)</f>
        <v>2</v>
      </c>
      <c r="F134" s="41"/>
    </row>
    <row r="135" spans="1:6" ht="21.95" customHeight="1" x14ac:dyDescent="0.25">
      <c r="A135" s="40" t="s">
        <v>221</v>
      </c>
      <c r="B135" s="40"/>
      <c r="C135" s="41" t="s">
        <v>78</v>
      </c>
      <c r="D135" s="42" t="s">
        <v>220</v>
      </c>
      <c r="E135" s="42">
        <f>COUNTIF(Questions!D:D,D135)</f>
        <v>2</v>
      </c>
      <c r="F135" s="41"/>
    </row>
    <row r="136" spans="1:6" ht="21.95" customHeight="1" x14ac:dyDescent="0.25">
      <c r="A136" s="40" t="s">
        <v>222</v>
      </c>
      <c r="B136" s="40"/>
      <c r="C136" s="41" t="s">
        <v>78</v>
      </c>
      <c r="D136" s="42" t="s">
        <v>223</v>
      </c>
      <c r="E136" s="42">
        <f>COUNTIF(Questions!D:D,D136)</f>
        <v>2</v>
      </c>
      <c r="F136" s="41"/>
    </row>
    <row r="137" spans="1:6" ht="21.95" customHeight="1" x14ac:dyDescent="0.25">
      <c r="A137" s="40" t="s">
        <v>224</v>
      </c>
      <c r="B137" s="40"/>
      <c r="C137" s="41" t="s">
        <v>78</v>
      </c>
      <c r="D137" s="42" t="s">
        <v>223</v>
      </c>
      <c r="E137" s="42">
        <f>COUNTIF(Questions!D:D,D137)</f>
        <v>2</v>
      </c>
      <c r="F137" s="41"/>
    </row>
    <row r="138" spans="1:6" ht="21.95" customHeight="1" x14ac:dyDescent="0.25">
      <c r="A138" s="37" t="s">
        <v>225</v>
      </c>
      <c r="B138" s="37"/>
      <c r="C138" s="38" t="s">
        <v>31</v>
      </c>
      <c r="D138" s="39" t="s">
        <v>226</v>
      </c>
      <c r="E138" s="39">
        <f>COUNTIF(Questions!D:D,D138)</f>
        <v>2</v>
      </c>
      <c r="F138" s="38"/>
    </row>
    <row r="139" spans="1:6" ht="21.95" customHeight="1" x14ac:dyDescent="0.25">
      <c r="A139" s="37" t="s">
        <v>227</v>
      </c>
      <c r="B139" s="37"/>
      <c r="C139" s="38" t="s">
        <v>31</v>
      </c>
      <c r="D139" s="39" t="s">
        <v>226</v>
      </c>
      <c r="E139" s="39">
        <f>COUNTIF(Questions!D:D,D139)</f>
        <v>2</v>
      </c>
      <c r="F139" s="38"/>
    </row>
    <row r="140" spans="1:6" ht="21.95" customHeight="1" x14ac:dyDescent="0.25">
      <c r="A140" s="43" t="s">
        <v>228</v>
      </c>
      <c r="B140" s="43"/>
      <c r="C140" s="44" t="s">
        <v>6</v>
      </c>
      <c r="D140" s="45" t="s">
        <v>229</v>
      </c>
      <c r="E140" s="45">
        <f>COUNTIF(Questions!D:D,D140)</f>
        <v>2</v>
      </c>
      <c r="F140" s="44"/>
    </row>
    <row r="141" spans="1:6" ht="21.95" customHeight="1" x14ac:dyDescent="0.25">
      <c r="A141" s="43" t="s">
        <v>230</v>
      </c>
      <c r="B141" s="43"/>
      <c r="C141" s="44" t="s">
        <v>6</v>
      </c>
      <c r="D141" s="45" t="s">
        <v>229</v>
      </c>
      <c r="E141" s="45">
        <f>COUNTIF(Questions!D:D,D141)</f>
        <v>2</v>
      </c>
      <c r="F141" s="44"/>
    </row>
    <row r="142" spans="1:6" ht="21.95" customHeight="1" x14ac:dyDescent="0.25">
      <c r="A142" s="31" t="s">
        <v>231</v>
      </c>
      <c r="B142" s="31"/>
      <c r="C142" s="32" t="s">
        <v>94</v>
      </c>
      <c r="D142" s="33" t="s">
        <v>232</v>
      </c>
      <c r="E142" s="33">
        <f>COUNTIF(Questions!D:D,D142)</f>
        <v>2</v>
      </c>
      <c r="F142" s="32"/>
    </row>
    <row r="143" spans="1:6" ht="21.95" customHeight="1" x14ac:dyDescent="0.25">
      <c r="A143" s="31" t="s">
        <v>233</v>
      </c>
      <c r="B143" s="31"/>
      <c r="C143" s="32" t="s">
        <v>94</v>
      </c>
      <c r="D143" s="33" t="s">
        <v>232</v>
      </c>
      <c r="E143" s="33">
        <f>COUNTIF(Questions!D:D,D143)</f>
        <v>2</v>
      </c>
      <c r="F143" s="32"/>
    </row>
    <row r="144" spans="1:6" ht="21.95" customHeight="1" x14ac:dyDescent="0.25">
      <c r="A144" s="31" t="s">
        <v>234</v>
      </c>
      <c r="B144" s="31"/>
      <c r="C144" s="32" t="s">
        <v>94</v>
      </c>
      <c r="D144" s="33" t="s">
        <v>235</v>
      </c>
      <c r="E144" s="33">
        <f>COUNTIF(Questions!D:D,D144)</f>
        <v>2</v>
      </c>
      <c r="F144" s="32"/>
    </row>
    <row r="145" spans="1:6" ht="21.95" customHeight="1" x14ac:dyDescent="0.25">
      <c r="A145" s="31" t="s">
        <v>236</v>
      </c>
      <c r="B145" s="31"/>
      <c r="C145" s="32" t="s">
        <v>94</v>
      </c>
      <c r="D145" s="33" t="s">
        <v>235</v>
      </c>
      <c r="E145" s="33">
        <f>COUNTIF(Questions!D:D,D145)</f>
        <v>2</v>
      </c>
      <c r="F145" s="32"/>
    </row>
    <row r="146" spans="1:6" ht="21.95" customHeight="1" x14ac:dyDescent="0.25">
      <c r="A146" s="37" t="s">
        <v>237</v>
      </c>
      <c r="B146" s="37"/>
      <c r="C146" s="38" t="s">
        <v>31</v>
      </c>
      <c r="D146" s="39" t="s">
        <v>238</v>
      </c>
      <c r="E146" s="39">
        <f>COUNTIF(Questions!D:D,D146)</f>
        <v>2</v>
      </c>
      <c r="F146" s="38"/>
    </row>
    <row r="147" spans="1:6" ht="21.95" customHeight="1" x14ac:dyDescent="0.25">
      <c r="A147" s="37" t="s">
        <v>239</v>
      </c>
      <c r="B147" s="37"/>
      <c r="C147" s="38" t="s">
        <v>31</v>
      </c>
      <c r="D147" s="39" t="s">
        <v>238</v>
      </c>
      <c r="E147" s="39">
        <f>COUNTIF(Questions!D:D,D147)</f>
        <v>2</v>
      </c>
      <c r="F147" s="38"/>
    </row>
    <row r="148" spans="1:6" ht="21.95" customHeight="1" x14ac:dyDescent="0.25">
      <c r="A148" s="40" t="s">
        <v>240</v>
      </c>
      <c r="B148" s="40"/>
      <c r="C148" s="41" t="s">
        <v>115</v>
      </c>
      <c r="D148" s="42" t="s">
        <v>241</v>
      </c>
      <c r="E148" s="42">
        <f>COUNTIF(Questions!D:D,D148)</f>
        <v>2</v>
      </c>
      <c r="F148" s="41"/>
    </row>
    <row r="149" spans="1:6" ht="21.95" customHeight="1" x14ac:dyDescent="0.25">
      <c r="A149" s="40" t="s">
        <v>242</v>
      </c>
      <c r="B149" s="40"/>
      <c r="C149" s="41" t="s">
        <v>115</v>
      </c>
      <c r="D149" s="42" t="s">
        <v>241</v>
      </c>
      <c r="E149" s="42">
        <f>COUNTIF(Questions!D:D,D149)</f>
        <v>2</v>
      </c>
      <c r="F149" s="41"/>
    </row>
    <row r="150" spans="1:6" ht="21.95" customHeight="1" x14ac:dyDescent="0.25">
      <c r="A150" s="28" t="s">
        <v>243</v>
      </c>
      <c r="B150" s="28"/>
      <c r="C150" s="29" t="s">
        <v>78</v>
      </c>
      <c r="D150" s="30" t="s">
        <v>244</v>
      </c>
      <c r="E150" s="30">
        <f>COUNTIF(Questions!D:D,D150)</f>
        <v>2</v>
      </c>
      <c r="F150" s="29"/>
    </row>
    <row r="151" spans="1:6" ht="21.95" customHeight="1" x14ac:dyDescent="0.25">
      <c r="A151" s="28" t="s">
        <v>245</v>
      </c>
      <c r="B151" s="28"/>
      <c r="C151" s="29" t="s">
        <v>78</v>
      </c>
      <c r="D151" s="30" t="s">
        <v>244</v>
      </c>
      <c r="E151" s="30">
        <f>COUNTIF(Questions!D:D,D151)</f>
        <v>2</v>
      </c>
      <c r="F151" s="29" t="s">
        <v>246</v>
      </c>
    </row>
    <row r="152" spans="1:6" ht="21.95" customHeight="1" x14ac:dyDescent="0.25">
      <c r="A152" s="6" t="s">
        <v>247</v>
      </c>
      <c r="B152" s="6"/>
      <c r="C152" s="7" t="s">
        <v>27</v>
      </c>
      <c r="D152" s="8" t="s">
        <v>248</v>
      </c>
      <c r="E152" s="8">
        <f>COUNTIF(Questions!D:D,D152)</f>
        <v>2</v>
      </c>
      <c r="F152" s="7"/>
    </row>
    <row r="153" spans="1:6" ht="21.95" customHeight="1" x14ac:dyDescent="0.25">
      <c r="A153" s="6" t="s">
        <v>249</v>
      </c>
      <c r="B153" s="6"/>
      <c r="C153" s="7" t="s">
        <v>27</v>
      </c>
      <c r="D153" s="8" t="s">
        <v>248</v>
      </c>
      <c r="E153" s="8">
        <f>COUNTIF(Questions!D:D,D153)</f>
        <v>2</v>
      </c>
      <c r="F153" s="7"/>
    </row>
    <row r="154" spans="1:6" ht="21.95" customHeight="1" x14ac:dyDescent="0.25">
      <c r="A154" s="25" t="s">
        <v>250</v>
      </c>
      <c r="B154" s="25"/>
      <c r="C154" s="26" t="s">
        <v>14</v>
      </c>
      <c r="D154" s="27" t="s">
        <v>251</v>
      </c>
      <c r="E154" s="27">
        <f>COUNTIF(Questions!D:D,D154)</f>
        <v>2</v>
      </c>
      <c r="F154" s="26"/>
    </row>
    <row r="155" spans="1:6" ht="21.95" customHeight="1" x14ac:dyDescent="0.25">
      <c r="A155" s="25" t="s">
        <v>252</v>
      </c>
      <c r="B155" s="25"/>
      <c r="C155" s="26" t="s">
        <v>14</v>
      </c>
      <c r="D155" s="27" t="s">
        <v>251</v>
      </c>
      <c r="E155" s="27">
        <f>COUNTIF(Questions!D:D,D155)</f>
        <v>2</v>
      </c>
      <c r="F155" s="26" t="s">
        <v>253</v>
      </c>
    </row>
    <row r="156" spans="1:6" ht="21.95" customHeight="1" x14ac:dyDescent="0.25">
      <c r="A156" s="25" t="s">
        <v>254</v>
      </c>
      <c r="B156" s="25"/>
      <c r="C156" s="26" t="s">
        <v>39</v>
      </c>
      <c r="D156" s="27" t="s">
        <v>255</v>
      </c>
      <c r="E156" s="27">
        <f>COUNTIF(Questions!D:D,D156)</f>
        <v>2</v>
      </c>
      <c r="F156" s="26"/>
    </row>
    <row r="157" spans="1:6" ht="21.95" customHeight="1" x14ac:dyDescent="0.25">
      <c r="A157" s="25" t="s">
        <v>256</v>
      </c>
      <c r="B157" s="25"/>
      <c r="C157" s="26" t="s">
        <v>39</v>
      </c>
      <c r="D157" s="27" t="s">
        <v>255</v>
      </c>
      <c r="E157" s="27">
        <f>COUNTIF(Questions!D:D,D157)</f>
        <v>2</v>
      </c>
      <c r="F157" s="26"/>
    </row>
    <row r="158" spans="1:6" ht="21.95" customHeight="1" x14ac:dyDescent="0.25">
      <c r="A158" s="25" t="s">
        <v>257</v>
      </c>
      <c r="B158" s="25"/>
      <c r="C158" s="26" t="s">
        <v>115</v>
      </c>
      <c r="D158" s="27" t="s">
        <v>258</v>
      </c>
      <c r="E158" s="27">
        <f>COUNTIF(Questions!D:D,D158)</f>
        <v>2</v>
      </c>
      <c r="F158" s="26"/>
    </row>
    <row r="159" spans="1:6" ht="21.95" customHeight="1" x14ac:dyDescent="0.25">
      <c r="A159" s="25" t="s">
        <v>259</v>
      </c>
      <c r="B159" s="25"/>
      <c r="C159" s="26" t="s">
        <v>115</v>
      </c>
      <c r="D159" s="27" t="s">
        <v>258</v>
      </c>
      <c r="E159" s="27">
        <f>COUNTIF(Questions!D:D,D159)</f>
        <v>2</v>
      </c>
      <c r="F159" s="26"/>
    </row>
    <row r="160" spans="1:6" ht="21.95" customHeight="1" x14ac:dyDescent="0.25">
      <c r="A160" s="6" t="s">
        <v>260</v>
      </c>
      <c r="B160" s="6"/>
      <c r="C160" s="7" t="s">
        <v>27</v>
      </c>
      <c r="D160" s="8" t="s">
        <v>261</v>
      </c>
      <c r="E160" s="8">
        <f>COUNTIF(Questions!D:D,D160)</f>
        <v>2</v>
      </c>
      <c r="F160" s="7"/>
    </row>
    <row r="161" spans="1:6" ht="21.95" customHeight="1" x14ac:dyDescent="0.25">
      <c r="A161" s="6" t="s">
        <v>262</v>
      </c>
      <c r="B161" s="6"/>
      <c r="C161" s="7" t="s">
        <v>27</v>
      </c>
      <c r="D161" s="8" t="s">
        <v>261</v>
      </c>
      <c r="E161" s="8">
        <f>COUNTIF(Questions!D:D,D161)</f>
        <v>2</v>
      </c>
      <c r="F161" s="7"/>
    </row>
    <row r="162" spans="1:6" ht="21.95" customHeight="1" x14ac:dyDescent="0.25">
      <c r="A162" s="40" t="s">
        <v>263</v>
      </c>
      <c r="B162" s="40"/>
      <c r="C162" s="41" t="s">
        <v>115</v>
      </c>
      <c r="D162" s="42" t="s">
        <v>264</v>
      </c>
      <c r="E162" s="42">
        <f>COUNTIF(Questions!D:D,D162)</f>
        <v>2</v>
      </c>
      <c r="F162" s="41"/>
    </row>
    <row r="163" spans="1:6" ht="21.95" customHeight="1" x14ac:dyDescent="0.25">
      <c r="A163" s="40" t="s">
        <v>265</v>
      </c>
      <c r="B163" s="40"/>
      <c r="C163" s="41" t="s">
        <v>78</v>
      </c>
      <c r="D163" s="42" t="s">
        <v>266</v>
      </c>
      <c r="E163" s="42">
        <f>COUNTIF(Questions!D:D,D163)</f>
        <v>2</v>
      </c>
      <c r="F163" s="41"/>
    </row>
    <row r="164" spans="1:6" ht="21.95" customHeight="1" x14ac:dyDescent="0.25">
      <c r="A164" s="25" t="s">
        <v>267</v>
      </c>
      <c r="B164" s="25"/>
      <c r="C164" s="26" t="s">
        <v>78</v>
      </c>
      <c r="D164" s="27" t="s">
        <v>266</v>
      </c>
      <c r="E164" s="27">
        <f>COUNTIF(Questions!D:D,D164)</f>
        <v>2</v>
      </c>
      <c r="F164" s="26"/>
    </row>
    <row r="165" spans="1:6" ht="21.95" customHeight="1" x14ac:dyDescent="0.25">
      <c r="A165" s="25" t="s">
        <v>268</v>
      </c>
      <c r="B165" s="25"/>
      <c r="C165" s="26" t="s">
        <v>115</v>
      </c>
      <c r="D165" s="27" t="s">
        <v>264</v>
      </c>
      <c r="E165" s="27">
        <f>COUNTIF(Questions!D:D,D165)</f>
        <v>2</v>
      </c>
      <c r="F165" s="26"/>
    </row>
    <row r="166" spans="1:6" ht="21.95" customHeight="1" x14ac:dyDescent="0.25">
      <c r="A166" s="40" t="s">
        <v>269</v>
      </c>
      <c r="B166" s="40"/>
      <c r="C166" s="41" t="s">
        <v>115</v>
      </c>
      <c r="D166" s="42" t="s">
        <v>270</v>
      </c>
      <c r="E166" s="42">
        <f>COUNTIF(Questions!D:D,D166)</f>
        <v>2</v>
      </c>
      <c r="F166" s="41"/>
    </row>
    <row r="167" spans="1:6" ht="21.95" customHeight="1" x14ac:dyDescent="0.25">
      <c r="A167" s="40" t="s">
        <v>271</v>
      </c>
      <c r="B167" s="40"/>
      <c r="C167" s="41" t="s">
        <v>115</v>
      </c>
      <c r="D167" s="42" t="s">
        <v>270</v>
      </c>
      <c r="E167" s="42">
        <f>COUNTIF(Questions!D:D,D167)</f>
        <v>2</v>
      </c>
      <c r="F167" s="41"/>
    </row>
    <row r="168" spans="1:6" ht="21.95" customHeight="1" x14ac:dyDescent="0.25">
      <c r="A168" s="19" t="s">
        <v>272</v>
      </c>
      <c r="B168" s="19"/>
      <c r="C168" s="20" t="s">
        <v>35</v>
      </c>
      <c r="D168" s="21" t="s">
        <v>273</v>
      </c>
      <c r="E168" s="21">
        <f>COUNTIF(Questions!D:D,D168)</f>
        <v>2</v>
      </c>
      <c r="F168" s="20"/>
    </row>
    <row r="169" spans="1:6" ht="21.95" customHeight="1" x14ac:dyDescent="0.25">
      <c r="A169" s="19" t="s">
        <v>274</v>
      </c>
      <c r="B169" s="19"/>
      <c r="C169" s="20" t="s">
        <v>35</v>
      </c>
      <c r="D169" s="21" t="s">
        <v>273</v>
      </c>
      <c r="E169" s="21">
        <f>COUNTIF(Questions!D:D,D169)</f>
        <v>2</v>
      </c>
      <c r="F169" s="20"/>
    </row>
    <row r="170" spans="1:6" ht="21.95" customHeight="1" x14ac:dyDescent="0.25">
      <c r="A170" s="13" t="s">
        <v>275</v>
      </c>
      <c r="B170" s="13"/>
      <c r="C170" s="14" t="s">
        <v>43</v>
      </c>
      <c r="D170" s="15" t="s">
        <v>276</v>
      </c>
      <c r="E170" s="15">
        <f>COUNTIF(Questions!D:D,D170)</f>
        <v>2</v>
      </c>
      <c r="F170" s="14"/>
    </row>
    <row r="171" spans="1:6" ht="21.95" customHeight="1" x14ac:dyDescent="0.25">
      <c r="A171" s="13" t="s">
        <v>277</v>
      </c>
      <c r="B171" s="13"/>
      <c r="C171" s="14" t="s">
        <v>43</v>
      </c>
      <c r="D171" s="15" t="s">
        <v>276</v>
      </c>
      <c r="E171" s="15">
        <f>COUNTIF(Questions!D:D,D171)</f>
        <v>2</v>
      </c>
      <c r="F171" s="14"/>
    </row>
    <row r="172" spans="1:6" ht="21.95" customHeight="1" x14ac:dyDescent="0.25">
      <c r="A172" s="16" t="s">
        <v>278</v>
      </c>
      <c r="B172" s="16"/>
      <c r="C172" s="17" t="s">
        <v>50</v>
      </c>
      <c r="D172" s="18" t="s">
        <v>279</v>
      </c>
      <c r="E172" s="18">
        <f>COUNTIF(Questions!D:D,D172)</f>
        <v>2</v>
      </c>
      <c r="F172" s="17"/>
    </row>
    <row r="173" spans="1:6" ht="21.95" customHeight="1" x14ac:dyDescent="0.25">
      <c r="A173" s="16" t="s">
        <v>280</v>
      </c>
      <c r="B173" s="16"/>
      <c r="C173" s="17" t="s">
        <v>50</v>
      </c>
      <c r="D173" s="18" t="s">
        <v>279</v>
      </c>
      <c r="E173" s="18">
        <f>COUNTIF(Questions!D:D,D173)</f>
        <v>2</v>
      </c>
      <c r="F173" s="17"/>
    </row>
    <row r="174" spans="1:6" ht="21.95" customHeight="1" x14ac:dyDescent="0.25">
      <c r="A174" s="6" t="s">
        <v>281</v>
      </c>
      <c r="B174" s="6"/>
      <c r="C174" s="7" t="s">
        <v>27</v>
      </c>
      <c r="D174" s="8" t="s">
        <v>282</v>
      </c>
      <c r="E174" s="8">
        <f>COUNTIF(Questions!D:D,D174)</f>
        <v>2</v>
      </c>
      <c r="F174" s="7"/>
    </row>
    <row r="175" spans="1:6" ht="21.95" customHeight="1" x14ac:dyDescent="0.25">
      <c r="A175" s="6" t="s">
        <v>283</v>
      </c>
      <c r="B175" s="6"/>
      <c r="C175" s="7" t="s">
        <v>27</v>
      </c>
      <c r="D175" s="8" t="s">
        <v>282</v>
      </c>
      <c r="E175" s="8">
        <f>COUNTIF(Questions!D:D,D175)</f>
        <v>2</v>
      </c>
      <c r="F175" s="7"/>
    </row>
    <row r="176" spans="1:6" ht="21.95" customHeight="1" x14ac:dyDescent="0.25">
      <c r="A176" s="37" t="s">
        <v>284</v>
      </c>
      <c r="B176" s="37"/>
      <c r="C176" s="38" t="s">
        <v>6</v>
      </c>
      <c r="D176" s="39" t="s">
        <v>285</v>
      </c>
      <c r="E176" s="39">
        <f>COUNTIF(Questions!D:D,D176)</f>
        <v>2</v>
      </c>
      <c r="F176" s="38"/>
    </row>
    <row r="177" spans="1:6" ht="21.95" customHeight="1" x14ac:dyDescent="0.25">
      <c r="A177" s="37" t="s">
        <v>286</v>
      </c>
      <c r="B177" s="37"/>
      <c r="C177" s="38" t="s">
        <v>6</v>
      </c>
      <c r="D177" s="39" t="s">
        <v>285</v>
      </c>
      <c r="E177" s="39">
        <f>COUNTIF(Questions!D:D,D177)</f>
        <v>2</v>
      </c>
      <c r="F177" s="38"/>
    </row>
    <row r="178" spans="1:6" ht="21.95" customHeight="1" x14ac:dyDescent="0.25">
      <c r="A178" s="28" t="s">
        <v>287</v>
      </c>
      <c r="B178" s="28"/>
      <c r="C178" s="29" t="s">
        <v>94</v>
      </c>
      <c r="D178" s="30" t="s">
        <v>288</v>
      </c>
      <c r="E178" s="30">
        <f>COUNTIF(Questions!D:D,D178)</f>
        <v>2</v>
      </c>
      <c r="F178" s="29"/>
    </row>
    <row r="179" spans="1:6" ht="21.95" customHeight="1" x14ac:dyDescent="0.25">
      <c r="A179" s="28" t="s">
        <v>289</v>
      </c>
      <c r="B179" s="28"/>
      <c r="C179" s="29" t="s">
        <v>94</v>
      </c>
      <c r="D179" s="30" t="s">
        <v>288</v>
      </c>
      <c r="E179" s="30">
        <f>COUNTIF(Questions!D:D,D179)</f>
        <v>2</v>
      </c>
      <c r="F179" s="29"/>
    </row>
    <row r="180" spans="1:6" ht="21.95" customHeight="1" x14ac:dyDescent="0.25">
      <c r="A180" s="22" t="s">
        <v>290</v>
      </c>
      <c r="B180" s="22"/>
      <c r="C180" s="23" t="s">
        <v>10</v>
      </c>
      <c r="D180" s="24" t="s">
        <v>291</v>
      </c>
      <c r="E180" s="24">
        <f>COUNTIF(Questions!D:D,D180)</f>
        <v>2</v>
      </c>
      <c r="F180" s="23"/>
    </row>
    <row r="181" spans="1:6" ht="21.95" customHeight="1" x14ac:dyDescent="0.25">
      <c r="A181" s="22" t="s">
        <v>292</v>
      </c>
      <c r="B181" s="22"/>
      <c r="C181" s="23" t="s">
        <v>10</v>
      </c>
      <c r="D181" s="24" t="s">
        <v>291</v>
      </c>
      <c r="E181" s="24">
        <f>COUNTIF(Questions!D:D,D181)</f>
        <v>2</v>
      </c>
      <c r="F181" s="23"/>
    </row>
    <row r="182" spans="1:6" ht="21.95" customHeight="1" x14ac:dyDescent="0.25">
      <c r="A182" s="49" t="s">
        <v>293</v>
      </c>
      <c r="B182" s="49"/>
      <c r="C182" s="50" t="s">
        <v>39</v>
      </c>
      <c r="D182" s="51" t="s">
        <v>294</v>
      </c>
      <c r="E182" s="51">
        <f>COUNTIF(Questions!D:D,D182)</f>
        <v>2</v>
      </c>
      <c r="F182" s="50"/>
    </row>
    <row r="183" spans="1:6" ht="21.95" customHeight="1" x14ac:dyDescent="0.25">
      <c r="A183" s="49" t="s">
        <v>295</v>
      </c>
      <c r="B183" s="49"/>
      <c r="C183" s="50" t="s">
        <v>39</v>
      </c>
      <c r="D183" s="51" t="s">
        <v>294</v>
      </c>
      <c r="E183" s="51">
        <f>COUNTIF(Questions!D:D,D183)</f>
        <v>2</v>
      </c>
      <c r="F183" s="50"/>
    </row>
    <row r="184" spans="1:6" ht="21.95" customHeight="1" x14ac:dyDescent="0.25">
      <c r="A184" s="25" t="s">
        <v>296</v>
      </c>
      <c r="B184" s="25"/>
      <c r="C184" s="26" t="s">
        <v>43</v>
      </c>
      <c r="D184" s="27" t="s">
        <v>297</v>
      </c>
      <c r="E184" s="27">
        <f>COUNTIF(Questions!D:D,D184)</f>
        <v>2</v>
      </c>
      <c r="F184" s="26"/>
    </row>
    <row r="185" spans="1:6" ht="21.95" customHeight="1" x14ac:dyDescent="0.25">
      <c r="A185" s="25" t="s">
        <v>298</v>
      </c>
      <c r="B185" s="25"/>
      <c r="C185" s="26" t="s">
        <v>43</v>
      </c>
      <c r="D185" s="27" t="s">
        <v>297</v>
      </c>
      <c r="E185" s="27">
        <f>COUNTIF(Questions!D:D,D185)</f>
        <v>2</v>
      </c>
      <c r="F185" s="26"/>
    </row>
    <row r="186" spans="1:6" ht="21.95" customHeight="1" x14ac:dyDescent="0.25">
      <c r="A186" s="25" t="s">
        <v>299</v>
      </c>
      <c r="B186" s="25"/>
      <c r="C186" s="26" t="s">
        <v>115</v>
      </c>
      <c r="D186" s="27" t="s">
        <v>300</v>
      </c>
      <c r="E186" s="27">
        <f>COUNTIF(Questions!D:D,D186)</f>
        <v>2</v>
      </c>
      <c r="F186" s="26"/>
    </row>
    <row r="187" spans="1:6" ht="21.95" customHeight="1" x14ac:dyDescent="0.25">
      <c r="A187" s="25" t="s">
        <v>301</v>
      </c>
      <c r="B187" s="25"/>
      <c r="C187" s="26" t="s">
        <v>115</v>
      </c>
      <c r="D187" s="27" t="s">
        <v>300</v>
      </c>
      <c r="E187" s="27">
        <f>COUNTIF(Questions!D:D,D187)</f>
        <v>2</v>
      </c>
      <c r="F187" s="26"/>
    </row>
    <row r="188" spans="1:6" ht="21.95" customHeight="1" x14ac:dyDescent="0.25">
      <c r="A188" s="46" t="s">
        <v>302</v>
      </c>
      <c r="B188" s="46"/>
      <c r="C188" s="47" t="s">
        <v>14</v>
      </c>
      <c r="D188" s="48" t="s">
        <v>303</v>
      </c>
      <c r="E188" s="48">
        <f>COUNTIF(Questions!D:D,D188)</f>
        <v>2</v>
      </c>
      <c r="F188" s="47"/>
    </row>
    <row r="189" spans="1:6" ht="21.95" customHeight="1" x14ac:dyDescent="0.25">
      <c r="A189" s="46" t="s">
        <v>304</v>
      </c>
      <c r="B189" s="46"/>
      <c r="C189" s="47" t="s">
        <v>14</v>
      </c>
      <c r="D189" s="48" t="s">
        <v>303</v>
      </c>
      <c r="E189" s="48">
        <f>COUNTIF(Questions!D:D,D189)</f>
        <v>2</v>
      </c>
      <c r="F189" s="47"/>
    </row>
    <row r="190" spans="1:6" ht="21.95" customHeight="1" x14ac:dyDescent="0.25">
      <c r="A190" s="31" t="s">
        <v>305</v>
      </c>
      <c r="B190" s="31"/>
      <c r="C190" s="32" t="s">
        <v>94</v>
      </c>
      <c r="D190" s="33" t="s">
        <v>306</v>
      </c>
      <c r="E190" s="33">
        <f>COUNTIF(Questions!D:D,D190)</f>
        <v>2</v>
      </c>
      <c r="F190" s="32"/>
    </row>
    <row r="191" spans="1:6" ht="21.95" customHeight="1" x14ac:dyDescent="0.25">
      <c r="A191" s="31" t="s">
        <v>307</v>
      </c>
      <c r="B191" s="31"/>
      <c r="C191" s="32" t="s">
        <v>94</v>
      </c>
      <c r="D191" s="33" t="s">
        <v>306</v>
      </c>
      <c r="E191" s="33">
        <f>COUNTIF(Questions!D:D,D191)</f>
        <v>2</v>
      </c>
      <c r="F191" s="32"/>
    </row>
    <row r="192" spans="1:6" ht="21.95" customHeight="1" x14ac:dyDescent="0.25">
      <c r="A192" s="37" t="s">
        <v>308</v>
      </c>
      <c r="B192" s="37"/>
      <c r="C192" s="38" t="s">
        <v>27</v>
      </c>
      <c r="D192" s="39" t="s">
        <v>309</v>
      </c>
      <c r="E192" s="39">
        <f>COUNTIF(Questions!D:D,D192)</f>
        <v>2</v>
      </c>
      <c r="F192" s="38"/>
    </row>
    <row r="193" spans="1:6" ht="21.95" customHeight="1" x14ac:dyDescent="0.25">
      <c r="A193" s="37" t="s">
        <v>310</v>
      </c>
      <c r="B193" s="37"/>
      <c r="C193" s="38" t="s">
        <v>27</v>
      </c>
      <c r="D193" s="39" t="s">
        <v>309</v>
      </c>
      <c r="E193" s="39">
        <f>COUNTIF(Questions!D:D,D193)</f>
        <v>2</v>
      </c>
      <c r="F193" s="38">
        <v>23</v>
      </c>
    </row>
    <row r="194" spans="1:6" ht="21.95" customHeight="1" x14ac:dyDescent="0.25">
      <c r="A194" s="46" t="s">
        <v>311</v>
      </c>
      <c r="B194" s="46"/>
      <c r="C194" s="47" t="s">
        <v>14</v>
      </c>
      <c r="D194" s="48" t="s">
        <v>312</v>
      </c>
      <c r="E194" s="48">
        <f>COUNTIF(Questions!D:D,D194)</f>
        <v>2</v>
      </c>
      <c r="F194" s="47"/>
    </row>
    <row r="195" spans="1:6" ht="21.95" customHeight="1" x14ac:dyDescent="0.25">
      <c r="A195" s="46" t="s">
        <v>313</v>
      </c>
      <c r="B195" s="46"/>
      <c r="C195" s="47" t="s">
        <v>14</v>
      </c>
      <c r="D195" s="48" t="s">
        <v>312</v>
      </c>
      <c r="E195" s="48">
        <f>COUNTIF(Questions!D:D,D195)</f>
        <v>2</v>
      </c>
      <c r="F195" s="47"/>
    </row>
    <row r="196" spans="1:6" ht="21.95" customHeight="1" x14ac:dyDescent="0.25">
      <c r="A196" s="25" t="s">
        <v>314</v>
      </c>
      <c r="B196" s="25"/>
      <c r="C196" s="26" t="s">
        <v>115</v>
      </c>
      <c r="D196" s="27" t="s">
        <v>315</v>
      </c>
      <c r="E196" s="27">
        <f>COUNTIF(Questions!D:D,D196)</f>
        <v>2</v>
      </c>
      <c r="F196" s="26"/>
    </row>
    <row r="197" spans="1:6" ht="21.95" customHeight="1" x14ac:dyDescent="0.25">
      <c r="A197" s="25" t="s">
        <v>316</v>
      </c>
      <c r="B197" s="25"/>
      <c r="C197" s="26" t="s">
        <v>115</v>
      </c>
      <c r="D197" s="27" t="s">
        <v>315</v>
      </c>
      <c r="E197" s="27">
        <f>COUNTIF(Questions!D:D,D197)</f>
        <v>2</v>
      </c>
      <c r="F197" s="26">
        <v>23</v>
      </c>
    </row>
    <row r="198" spans="1:6" ht="21.95" customHeight="1" x14ac:dyDescent="0.25">
      <c r="A198" s="49" t="s">
        <v>317</v>
      </c>
      <c r="B198" s="49"/>
      <c r="C198" s="50" t="s">
        <v>39</v>
      </c>
      <c r="D198" s="51" t="s">
        <v>318</v>
      </c>
      <c r="E198" s="51">
        <f>COUNTIF(Questions!D:D,D198)</f>
        <v>2</v>
      </c>
      <c r="F198" s="50"/>
    </row>
    <row r="199" spans="1:6" ht="21.95" customHeight="1" x14ac:dyDescent="0.25">
      <c r="A199" s="49" t="s">
        <v>319</v>
      </c>
      <c r="B199" s="49"/>
      <c r="C199" s="50" t="s">
        <v>39</v>
      </c>
      <c r="D199" s="51" t="s">
        <v>318</v>
      </c>
      <c r="E199" s="51">
        <f>COUNTIF(Questions!D:D,D199)</f>
        <v>2</v>
      </c>
      <c r="F199" s="50"/>
    </row>
    <row r="200" spans="1:6" ht="21.95" customHeight="1" x14ac:dyDescent="0.25">
      <c r="A200" s="49" t="s">
        <v>320</v>
      </c>
      <c r="B200" s="49"/>
      <c r="C200" s="50" t="s">
        <v>39</v>
      </c>
      <c r="D200" s="51" t="s">
        <v>321</v>
      </c>
      <c r="E200" s="51">
        <f>COUNTIF(Questions!D:D,D200)</f>
        <v>2</v>
      </c>
      <c r="F200" s="50"/>
    </row>
    <row r="201" spans="1:6" ht="21.95" customHeight="1" x14ac:dyDescent="0.25">
      <c r="A201" s="49" t="s">
        <v>322</v>
      </c>
      <c r="B201" s="49"/>
      <c r="C201" s="50" t="s">
        <v>39</v>
      </c>
      <c r="D201" s="51" t="s">
        <v>321</v>
      </c>
      <c r="E201" s="51">
        <f>COUNTIF(Questions!D:D,D201)</f>
        <v>2</v>
      </c>
      <c r="F201" s="50"/>
    </row>
    <row r="202" spans="1:6" ht="21.95" customHeight="1" x14ac:dyDescent="0.25">
      <c r="A202" s="25" t="s">
        <v>323</v>
      </c>
      <c r="B202" s="25"/>
      <c r="C202" s="26" t="s">
        <v>115</v>
      </c>
      <c r="D202" s="27" t="s">
        <v>324</v>
      </c>
      <c r="E202" s="27">
        <f>COUNTIF(Questions!D:D,D202)</f>
        <v>2</v>
      </c>
      <c r="F202" s="26"/>
    </row>
    <row r="203" spans="1:6" ht="21.95" customHeight="1" x14ac:dyDescent="0.25">
      <c r="A203" s="25" t="s">
        <v>325</v>
      </c>
      <c r="B203" s="25"/>
      <c r="C203" s="26" t="s">
        <v>115</v>
      </c>
      <c r="D203" s="27" t="s">
        <v>324</v>
      </c>
      <c r="E203" s="27">
        <f>COUNTIF(Questions!D:D,D203)</f>
        <v>2</v>
      </c>
      <c r="F203" s="26"/>
    </row>
    <row r="204" spans="1:6" ht="21.95" customHeight="1" x14ac:dyDescent="0.25">
      <c r="A204" s="28" t="s">
        <v>326</v>
      </c>
      <c r="B204" s="28"/>
      <c r="C204" s="29" t="s">
        <v>94</v>
      </c>
      <c r="D204" s="30" t="s">
        <v>327</v>
      </c>
      <c r="E204" s="30">
        <f>COUNTIF(Questions!D:D,D204)</f>
        <v>2</v>
      </c>
      <c r="F204" s="29"/>
    </row>
    <row r="205" spans="1:6" ht="21.95" customHeight="1" x14ac:dyDescent="0.25">
      <c r="A205" s="28" t="s">
        <v>328</v>
      </c>
      <c r="B205" s="28"/>
      <c r="C205" s="29" t="s">
        <v>94</v>
      </c>
      <c r="D205" s="30" t="s">
        <v>327</v>
      </c>
      <c r="E205" s="30">
        <f>COUNTIF(Questions!D:D,D205)</f>
        <v>2</v>
      </c>
      <c r="F205" s="29"/>
    </row>
    <row r="206" spans="1:6" ht="21.95" customHeight="1" x14ac:dyDescent="0.25">
      <c r="A206" s="22" t="s">
        <v>329</v>
      </c>
      <c r="B206" s="22"/>
      <c r="C206" s="23" t="s">
        <v>10</v>
      </c>
      <c r="D206" s="24" t="s">
        <v>330</v>
      </c>
      <c r="E206" s="24">
        <f>COUNTIF(Questions!D:D,D206)</f>
        <v>2</v>
      </c>
      <c r="F206" s="23"/>
    </row>
    <row r="207" spans="1:6" ht="21.95" customHeight="1" x14ac:dyDescent="0.25">
      <c r="A207" s="22" t="s">
        <v>331</v>
      </c>
      <c r="B207" s="22"/>
      <c r="C207" s="23" t="s">
        <v>10</v>
      </c>
      <c r="D207" s="24" t="s">
        <v>330</v>
      </c>
      <c r="E207" s="24">
        <f>COUNTIF(Questions!D:D,D207)</f>
        <v>2</v>
      </c>
      <c r="F207" s="23"/>
    </row>
    <row r="208" spans="1:6" ht="21.95" customHeight="1" x14ac:dyDescent="0.25">
      <c r="A208" s="13" t="s">
        <v>332</v>
      </c>
      <c r="B208" s="13"/>
      <c r="C208" s="14" t="s">
        <v>43</v>
      </c>
      <c r="D208" s="15" t="s">
        <v>333</v>
      </c>
      <c r="E208" s="15">
        <f>COUNTIF(Questions!D:D,D208)</f>
        <v>2</v>
      </c>
      <c r="F208" s="14"/>
    </row>
    <row r="209" spans="1:6" ht="21.95" customHeight="1" x14ac:dyDescent="0.25">
      <c r="A209" s="13" t="s">
        <v>334</v>
      </c>
      <c r="B209" s="13"/>
      <c r="C209" s="14" t="s">
        <v>43</v>
      </c>
      <c r="D209" s="15" t="s">
        <v>333</v>
      </c>
      <c r="E209" s="15">
        <f>COUNTIF(Questions!D:D,D209)</f>
        <v>2</v>
      </c>
      <c r="F209" s="14"/>
    </row>
    <row r="210" spans="1:6" ht="21.95" customHeight="1" x14ac:dyDescent="0.25">
      <c r="A210" s="13" t="s">
        <v>335</v>
      </c>
      <c r="B210" s="13"/>
      <c r="C210" s="14" t="s">
        <v>43</v>
      </c>
      <c r="D210" s="15" t="s">
        <v>336</v>
      </c>
      <c r="E210" s="15">
        <f>COUNTIF(Questions!D:D,D210)</f>
        <v>2</v>
      </c>
      <c r="F210" s="14"/>
    </row>
    <row r="211" spans="1:6" ht="21.95" customHeight="1" x14ac:dyDescent="0.25">
      <c r="A211" s="13" t="s">
        <v>337</v>
      </c>
      <c r="B211" s="13"/>
      <c r="C211" s="14" t="s">
        <v>43</v>
      </c>
      <c r="D211" s="15" t="s">
        <v>336</v>
      </c>
      <c r="E211" s="15">
        <f>COUNTIF(Questions!D:D,D211)</f>
        <v>2</v>
      </c>
      <c r="F211" s="14"/>
    </row>
    <row r="212" spans="1:6" ht="21.95" customHeight="1" x14ac:dyDescent="0.25">
      <c r="A212" s="52" t="s">
        <v>338</v>
      </c>
      <c r="B212" s="52"/>
      <c r="C212" s="53" t="s">
        <v>50</v>
      </c>
      <c r="D212" s="54" t="s">
        <v>339</v>
      </c>
      <c r="E212" s="54">
        <f>COUNTIF(Questions!D:D,D212)</f>
        <v>2</v>
      </c>
      <c r="F212" s="53"/>
    </row>
    <row r="213" spans="1:6" ht="21.95" customHeight="1" x14ac:dyDescent="0.25">
      <c r="A213" s="52" t="s">
        <v>340</v>
      </c>
      <c r="B213" s="52"/>
      <c r="C213" s="53" t="s">
        <v>50</v>
      </c>
      <c r="D213" s="54" t="s">
        <v>339</v>
      </c>
      <c r="E213" s="54">
        <f>COUNTIF(Questions!D:D,D213)</f>
        <v>2</v>
      </c>
      <c r="F213" s="53"/>
    </row>
    <row r="214" spans="1:6" ht="21.95" customHeight="1" x14ac:dyDescent="0.25">
      <c r="A214" s="43" t="s">
        <v>341</v>
      </c>
      <c r="B214" s="43"/>
      <c r="C214" s="44" t="s">
        <v>6</v>
      </c>
      <c r="D214" s="45" t="s">
        <v>342</v>
      </c>
      <c r="E214" s="45">
        <f>COUNTIF(Questions!D:D,D214)</f>
        <v>2</v>
      </c>
      <c r="F214" s="44"/>
    </row>
    <row r="215" spans="1:6" ht="21.95" customHeight="1" x14ac:dyDescent="0.25">
      <c r="A215" s="43" t="s">
        <v>343</v>
      </c>
      <c r="B215" s="43"/>
      <c r="C215" s="44" t="s">
        <v>6</v>
      </c>
      <c r="D215" s="45" t="s">
        <v>342</v>
      </c>
      <c r="E215" s="45">
        <f>COUNTIF(Questions!D:D,D215)</f>
        <v>2</v>
      </c>
      <c r="F215" s="44"/>
    </row>
    <row r="216" spans="1:6" ht="21.95" customHeight="1" x14ac:dyDescent="0.25">
      <c r="A216" s="19" t="s">
        <v>344</v>
      </c>
      <c r="B216" s="19"/>
      <c r="C216" s="20" t="s">
        <v>35</v>
      </c>
      <c r="D216" s="21" t="s">
        <v>345</v>
      </c>
      <c r="E216" s="21">
        <f>COUNTIF(Questions!D:D,D216)</f>
        <v>2</v>
      </c>
      <c r="F216" s="20"/>
    </row>
    <row r="217" spans="1:6" ht="21.95" customHeight="1" x14ac:dyDescent="0.25">
      <c r="A217" s="19" t="s">
        <v>346</v>
      </c>
      <c r="B217" s="19"/>
      <c r="C217" s="20" t="s">
        <v>35</v>
      </c>
      <c r="D217" s="21" t="s">
        <v>345</v>
      </c>
      <c r="E217" s="21">
        <f>COUNTIF(Questions!D:D,D217)</f>
        <v>2</v>
      </c>
      <c r="F217" s="20"/>
    </row>
    <row r="218" spans="1:6" ht="21.95" customHeight="1" x14ac:dyDescent="0.25">
      <c r="A218" s="6" t="s">
        <v>347</v>
      </c>
      <c r="B218" s="6"/>
      <c r="C218" s="7" t="s">
        <v>27</v>
      </c>
      <c r="D218" s="8" t="s">
        <v>348</v>
      </c>
      <c r="E218" s="8">
        <f>COUNTIF(Questions!D:D,D218)</f>
        <v>2</v>
      </c>
      <c r="F218" s="7"/>
    </row>
    <row r="219" spans="1:6" ht="21.95" customHeight="1" x14ac:dyDescent="0.25">
      <c r="A219" s="6" t="s">
        <v>349</v>
      </c>
      <c r="B219" s="6"/>
      <c r="C219" s="7" t="s">
        <v>27</v>
      </c>
      <c r="D219" s="8" t="s">
        <v>348</v>
      </c>
      <c r="E219" s="8">
        <f>COUNTIF(Questions!D:D,D219)</f>
        <v>2</v>
      </c>
      <c r="F219" s="7"/>
    </row>
    <row r="220" spans="1:6" ht="21.95" customHeight="1" x14ac:dyDescent="0.25">
      <c r="A220" s="16" t="s">
        <v>350</v>
      </c>
      <c r="B220" s="16"/>
      <c r="C220" s="17" t="s">
        <v>50</v>
      </c>
      <c r="D220" s="18" t="s">
        <v>351</v>
      </c>
      <c r="E220" s="18">
        <f>COUNTIF(Questions!D:D,D220)</f>
        <v>2</v>
      </c>
      <c r="F220" s="17"/>
    </row>
    <row r="221" spans="1:6" ht="21.95" customHeight="1" x14ac:dyDescent="0.25">
      <c r="A221" s="16" t="s">
        <v>352</v>
      </c>
      <c r="B221" s="16"/>
      <c r="C221" s="17" t="s">
        <v>50</v>
      </c>
      <c r="D221" s="18" t="s">
        <v>351</v>
      </c>
      <c r="E221" s="18">
        <f>COUNTIF(Questions!D:D,D221)</f>
        <v>2</v>
      </c>
      <c r="F221" s="17"/>
    </row>
    <row r="222" spans="1:6" ht="21.95" customHeight="1" x14ac:dyDescent="0.25">
      <c r="A222" s="19" t="s">
        <v>353</v>
      </c>
      <c r="B222" s="19"/>
      <c r="C222" s="20" t="s">
        <v>35</v>
      </c>
      <c r="D222" s="21" t="s">
        <v>354</v>
      </c>
      <c r="E222" s="21">
        <f>COUNTIF(Questions!D:D,D222)</f>
        <v>2</v>
      </c>
      <c r="F222" s="20"/>
    </row>
    <row r="223" spans="1:6" ht="21.95" customHeight="1" x14ac:dyDescent="0.25">
      <c r="A223" s="19" t="s">
        <v>355</v>
      </c>
      <c r="B223" s="19"/>
      <c r="C223" s="20" t="s">
        <v>35</v>
      </c>
      <c r="D223" s="21" t="s">
        <v>354</v>
      </c>
      <c r="E223" s="21">
        <f>COUNTIF(Questions!D:D,D223)</f>
        <v>2</v>
      </c>
      <c r="F223" s="20"/>
    </row>
    <row r="224" spans="1:6" ht="21.95" customHeight="1" x14ac:dyDescent="0.25">
      <c r="A224" s="16" t="s">
        <v>356</v>
      </c>
      <c r="B224" s="16"/>
      <c r="C224" s="17" t="s">
        <v>78</v>
      </c>
      <c r="D224" s="18" t="s">
        <v>357</v>
      </c>
      <c r="E224" s="18">
        <f>COUNTIF(Questions!D:D,D224)</f>
        <v>2</v>
      </c>
      <c r="F224" s="17"/>
    </row>
    <row r="225" spans="1:6" ht="21.95" customHeight="1" x14ac:dyDescent="0.25">
      <c r="A225" s="16" t="s">
        <v>358</v>
      </c>
      <c r="B225" s="16"/>
      <c r="C225" s="17" t="s">
        <v>78</v>
      </c>
      <c r="D225" s="18" t="s">
        <v>357</v>
      </c>
      <c r="E225" s="18">
        <f>COUNTIF(Questions!D:D,D225)</f>
        <v>2</v>
      </c>
      <c r="F225" s="17"/>
    </row>
    <row r="226" spans="1:6" ht="21.95" customHeight="1" x14ac:dyDescent="0.25">
      <c r="A226" s="25" t="s">
        <v>359</v>
      </c>
      <c r="B226" s="25"/>
      <c r="C226" s="26" t="s">
        <v>115</v>
      </c>
      <c r="D226" s="27" t="s">
        <v>360</v>
      </c>
      <c r="E226" s="27">
        <f>COUNTIF(Questions!D:D,D226)</f>
        <v>2</v>
      </c>
      <c r="F226" s="26"/>
    </row>
    <row r="227" spans="1:6" ht="21.95" customHeight="1" x14ac:dyDescent="0.25">
      <c r="A227" s="25" t="s">
        <v>361</v>
      </c>
      <c r="B227" s="25"/>
      <c r="C227" s="26" t="s">
        <v>115</v>
      </c>
      <c r="D227" s="27" t="s">
        <v>360</v>
      </c>
      <c r="E227" s="27">
        <f>COUNTIF(Questions!D:D,D227)</f>
        <v>2</v>
      </c>
      <c r="F227" s="26"/>
    </row>
    <row r="228" spans="1:6" ht="21.95" customHeight="1" x14ac:dyDescent="0.25">
      <c r="A228" s="22" t="s">
        <v>362</v>
      </c>
      <c r="B228" s="22"/>
      <c r="C228" s="23" t="s">
        <v>10</v>
      </c>
      <c r="D228" s="24" t="s">
        <v>363</v>
      </c>
      <c r="E228" s="24">
        <f>COUNTIF(Questions!D:D,D228)</f>
        <v>2</v>
      </c>
      <c r="F228" s="23"/>
    </row>
    <row r="229" spans="1:6" ht="21.95" customHeight="1" x14ac:dyDescent="0.25">
      <c r="A229" s="22" t="s">
        <v>364</v>
      </c>
      <c r="B229" s="22"/>
      <c r="C229" s="23" t="s">
        <v>10</v>
      </c>
      <c r="D229" s="24" t="s">
        <v>363</v>
      </c>
      <c r="E229" s="24">
        <f>COUNTIF(Questions!D:D,D229)</f>
        <v>2</v>
      </c>
      <c r="F229" s="23"/>
    </row>
    <row r="230" spans="1:6" ht="21.95" customHeight="1" x14ac:dyDescent="0.25">
      <c r="A230" s="6" t="s">
        <v>365</v>
      </c>
      <c r="B230" s="6"/>
      <c r="C230" s="7" t="s">
        <v>27</v>
      </c>
      <c r="D230" s="8" t="s">
        <v>366</v>
      </c>
      <c r="E230" s="8">
        <f>COUNTIF(Questions!D:D,D230)</f>
        <v>2</v>
      </c>
      <c r="F230" s="7"/>
    </row>
    <row r="231" spans="1:6" ht="21.95" customHeight="1" x14ac:dyDescent="0.25">
      <c r="A231" s="6" t="s">
        <v>367</v>
      </c>
      <c r="B231" s="6"/>
      <c r="C231" s="7" t="s">
        <v>27</v>
      </c>
      <c r="D231" s="8" t="s">
        <v>366</v>
      </c>
      <c r="E231" s="8">
        <f>COUNTIF(Questions!D:D,D231)</f>
        <v>2</v>
      </c>
      <c r="F231" s="7"/>
    </row>
    <row r="232" spans="1:6" ht="21.95" customHeight="1" x14ac:dyDescent="0.25">
      <c r="A232" s="37" t="s">
        <v>368</v>
      </c>
      <c r="B232" s="37"/>
      <c r="C232" s="38" t="s">
        <v>31</v>
      </c>
      <c r="D232" s="39" t="s">
        <v>369</v>
      </c>
      <c r="E232" s="39">
        <f>COUNTIF(Questions!D:D,D232)</f>
        <v>2</v>
      </c>
      <c r="F232" s="38"/>
    </row>
    <row r="233" spans="1:6" ht="21.95" customHeight="1" x14ac:dyDescent="0.25">
      <c r="A233" s="37" t="s">
        <v>370</v>
      </c>
      <c r="B233" s="37"/>
      <c r="C233" s="38" t="s">
        <v>31</v>
      </c>
      <c r="D233" s="39" t="s">
        <v>369</v>
      </c>
      <c r="E233" s="39">
        <f>COUNTIF(Questions!D:D,D233)</f>
        <v>2</v>
      </c>
      <c r="F233" s="38"/>
    </row>
    <row r="234" spans="1:6" ht="21.95" customHeight="1" x14ac:dyDescent="0.25">
      <c r="A234" s="37" t="s">
        <v>371</v>
      </c>
      <c r="B234" s="37"/>
      <c r="C234" s="38" t="s">
        <v>31</v>
      </c>
      <c r="D234" s="39" t="s">
        <v>372</v>
      </c>
      <c r="E234" s="39">
        <f>COUNTIF(Questions!D:D,D234)</f>
        <v>2</v>
      </c>
      <c r="F234" s="38"/>
    </row>
    <row r="235" spans="1:6" ht="21.95" customHeight="1" x14ac:dyDescent="0.25">
      <c r="A235" s="37" t="s">
        <v>373</v>
      </c>
      <c r="B235" s="37"/>
      <c r="C235" s="38" t="s">
        <v>31</v>
      </c>
      <c r="D235" s="39" t="s">
        <v>372</v>
      </c>
      <c r="E235" s="39">
        <f>COUNTIF(Questions!D:D,D235)</f>
        <v>2</v>
      </c>
      <c r="F235" s="38"/>
    </row>
    <row r="236" spans="1:6" ht="21.95" customHeight="1" x14ac:dyDescent="0.25">
      <c r="A236" s="13" t="s">
        <v>374</v>
      </c>
      <c r="B236" s="13"/>
      <c r="C236" s="14" t="s">
        <v>43</v>
      </c>
      <c r="D236" s="15" t="s">
        <v>375</v>
      </c>
      <c r="E236" s="15">
        <f>COUNTIF(Questions!D:D,D236)</f>
        <v>2</v>
      </c>
      <c r="F236" s="14"/>
    </row>
    <row r="237" spans="1:6" ht="21.95" customHeight="1" x14ac:dyDescent="0.25">
      <c r="A237" s="13" t="s">
        <v>376</v>
      </c>
      <c r="B237" s="13"/>
      <c r="C237" s="14" t="s">
        <v>43</v>
      </c>
      <c r="D237" s="15" t="s">
        <v>375</v>
      </c>
      <c r="E237" s="15">
        <f>COUNTIF(Questions!D:D,D237)</f>
        <v>2</v>
      </c>
      <c r="F237" s="14"/>
    </row>
    <row r="238" spans="1:6" ht="21.95" customHeight="1" x14ac:dyDescent="0.25">
      <c r="A238" s="52" t="s">
        <v>377</v>
      </c>
      <c r="B238" s="52"/>
      <c r="C238" s="53" t="s">
        <v>50</v>
      </c>
      <c r="D238" s="54" t="s">
        <v>378</v>
      </c>
      <c r="E238" s="54">
        <f>COUNTIF(Questions!D:D,D238)</f>
        <v>2</v>
      </c>
      <c r="F238" s="53"/>
    </row>
    <row r="239" spans="1:6" ht="21.95" customHeight="1" x14ac:dyDescent="0.25">
      <c r="A239" s="52" t="s">
        <v>379</v>
      </c>
      <c r="B239" s="52"/>
      <c r="C239" s="53" t="s">
        <v>50</v>
      </c>
      <c r="D239" s="54" t="s">
        <v>378</v>
      </c>
      <c r="E239" s="54">
        <f>COUNTIF(Questions!D:D,D239)</f>
        <v>2</v>
      </c>
      <c r="F239" s="53"/>
    </row>
    <row r="240" spans="1:6" ht="21.95" customHeight="1" x14ac:dyDescent="0.25">
      <c r="A240" s="16" t="s">
        <v>380</v>
      </c>
      <c r="B240" s="16"/>
      <c r="C240" s="17" t="s">
        <v>50</v>
      </c>
      <c r="D240" s="18" t="s">
        <v>381</v>
      </c>
      <c r="E240" s="18">
        <f>COUNTIF(Questions!D:D,D240)</f>
        <v>2</v>
      </c>
      <c r="F240" s="17"/>
    </row>
    <row r="241" spans="1:6" ht="21.95" customHeight="1" x14ac:dyDescent="0.25">
      <c r="A241" s="16" t="s">
        <v>382</v>
      </c>
      <c r="B241" s="16"/>
      <c r="C241" s="17" t="s">
        <v>50</v>
      </c>
      <c r="D241" s="18" t="s">
        <v>381</v>
      </c>
      <c r="E241" s="18">
        <f>COUNTIF(Questions!D:D,D241)</f>
        <v>2</v>
      </c>
      <c r="F241" s="17"/>
    </row>
    <row r="242" spans="1:6" ht="21.95" customHeight="1" x14ac:dyDescent="0.25">
      <c r="A242" s="43" t="s">
        <v>383</v>
      </c>
      <c r="B242" s="43"/>
      <c r="C242" s="44" t="s">
        <v>6</v>
      </c>
      <c r="D242" s="45" t="s">
        <v>384</v>
      </c>
      <c r="E242" s="45">
        <f>COUNTIF(Questions!D:D,D242)</f>
        <v>2</v>
      </c>
      <c r="F242" s="44"/>
    </row>
    <row r="243" spans="1:6" ht="21.95" customHeight="1" x14ac:dyDescent="0.25">
      <c r="A243" s="43" t="s">
        <v>385</v>
      </c>
      <c r="B243" s="43"/>
      <c r="C243" s="44" t="s">
        <v>6</v>
      </c>
      <c r="D243" s="45" t="s">
        <v>384</v>
      </c>
      <c r="E243" s="45">
        <f>COUNTIF(Questions!D:D,D243)</f>
        <v>2</v>
      </c>
      <c r="F243" s="44"/>
    </row>
    <row r="244" spans="1:6" ht="21.95" customHeight="1" x14ac:dyDescent="0.25">
      <c r="A244" s="43" t="s">
        <v>386</v>
      </c>
      <c r="B244" s="43"/>
      <c r="C244" s="44" t="s">
        <v>6</v>
      </c>
      <c r="D244" s="45" t="s">
        <v>387</v>
      </c>
      <c r="E244" s="45">
        <f>COUNTIF(Questions!D:D,D244)</f>
        <v>2</v>
      </c>
      <c r="F244" s="44"/>
    </row>
    <row r="245" spans="1:6" ht="21.95" customHeight="1" x14ac:dyDescent="0.25">
      <c r="A245" s="43" t="s">
        <v>388</v>
      </c>
      <c r="B245" s="43"/>
      <c r="C245" s="44" t="s">
        <v>6</v>
      </c>
      <c r="D245" s="45" t="s">
        <v>387</v>
      </c>
      <c r="E245" s="45">
        <f>COUNTIF(Questions!D:D,D245)</f>
        <v>2</v>
      </c>
      <c r="F245" s="44"/>
    </row>
    <row r="246" spans="1:6" ht="21.95" customHeight="1" x14ac:dyDescent="0.25">
      <c r="A246" s="52" t="s">
        <v>389</v>
      </c>
      <c r="B246" s="52"/>
      <c r="C246" s="53" t="s">
        <v>50</v>
      </c>
      <c r="D246" s="54" t="s">
        <v>390</v>
      </c>
      <c r="E246" s="54">
        <f>COUNTIF(Questions!D:D,D246)</f>
        <v>2</v>
      </c>
      <c r="F246" s="53"/>
    </row>
    <row r="247" spans="1:6" ht="21.95" customHeight="1" x14ac:dyDescent="0.25">
      <c r="A247" s="52" t="s">
        <v>391</v>
      </c>
      <c r="B247" s="52"/>
      <c r="C247" s="53" t="s">
        <v>50</v>
      </c>
      <c r="D247" s="54" t="s">
        <v>390</v>
      </c>
      <c r="E247" s="54">
        <f>COUNTIF(Questions!D:D,D247)</f>
        <v>2</v>
      </c>
      <c r="F247" s="53"/>
    </row>
    <row r="248" spans="1:6" ht="21.95" customHeight="1" x14ac:dyDescent="0.25">
      <c r="A248" s="52" t="s">
        <v>392</v>
      </c>
      <c r="B248" s="52"/>
      <c r="C248" s="53" t="s">
        <v>50</v>
      </c>
      <c r="D248" s="54" t="s">
        <v>393</v>
      </c>
      <c r="E248" s="54">
        <f>COUNTIF(Questions!D:D,D248)</f>
        <v>2</v>
      </c>
      <c r="F248" s="53"/>
    </row>
    <row r="249" spans="1:6" ht="21.95" customHeight="1" x14ac:dyDescent="0.25">
      <c r="A249" s="52" t="s">
        <v>394</v>
      </c>
      <c r="B249" s="52"/>
      <c r="C249" s="53" t="s">
        <v>50</v>
      </c>
      <c r="D249" s="54" t="s">
        <v>393</v>
      </c>
      <c r="E249" s="54">
        <f>COUNTIF(Questions!D:D,D249)</f>
        <v>2</v>
      </c>
      <c r="F249" s="53"/>
    </row>
    <row r="250" spans="1:6" ht="21.95" customHeight="1" x14ac:dyDescent="0.25">
      <c r="A250" s="13" t="s">
        <v>395</v>
      </c>
      <c r="B250" s="13"/>
      <c r="C250" s="14" t="s">
        <v>43</v>
      </c>
      <c r="D250" s="15" t="s">
        <v>396</v>
      </c>
      <c r="E250" s="15">
        <f>COUNTIF(Questions!D:D,D250)</f>
        <v>2</v>
      </c>
      <c r="F250" s="14"/>
    </row>
    <row r="251" spans="1:6" ht="21.95" customHeight="1" x14ac:dyDescent="0.25">
      <c r="A251" s="13" t="s">
        <v>397</v>
      </c>
      <c r="B251" s="13"/>
      <c r="C251" s="14" t="s">
        <v>43</v>
      </c>
      <c r="D251" s="15" t="s">
        <v>396</v>
      </c>
      <c r="E251" s="15">
        <f>COUNTIF(Questions!D:D,D251)</f>
        <v>2</v>
      </c>
      <c r="F251" s="14"/>
    </row>
    <row r="252" spans="1:6" ht="21.95" customHeight="1" x14ac:dyDescent="0.25">
      <c r="A252" s="6" t="s">
        <v>398</v>
      </c>
      <c r="B252" s="6"/>
      <c r="C252" s="7" t="s">
        <v>27</v>
      </c>
      <c r="D252" s="8" t="s">
        <v>399</v>
      </c>
      <c r="E252" s="8">
        <f>COUNTIF(Questions!D:D,D252)</f>
        <v>2</v>
      </c>
      <c r="F252" s="7"/>
    </row>
    <row r="253" spans="1:6" ht="21.95" customHeight="1" x14ac:dyDescent="0.25">
      <c r="A253" s="6" t="s">
        <v>400</v>
      </c>
      <c r="B253" s="6"/>
      <c r="C253" s="7" t="s">
        <v>27</v>
      </c>
      <c r="D253" s="8" t="s">
        <v>399</v>
      </c>
      <c r="E253" s="8">
        <f>COUNTIF(Questions!D:D,D253)</f>
        <v>2</v>
      </c>
      <c r="F253" s="7"/>
    </row>
    <row r="254" spans="1:6" ht="21.95" customHeight="1" x14ac:dyDescent="0.25">
      <c r="A254" s="34" t="s">
        <v>401</v>
      </c>
      <c r="B254" s="34"/>
      <c r="C254" s="35" t="s">
        <v>35</v>
      </c>
      <c r="D254" s="36" t="s">
        <v>402</v>
      </c>
      <c r="E254" s="36">
        <f>COUNTIF(Questions!D:D,D254)</f>
        <v>2</v>
      </c>
      <c r="F254" s="35"/>
    </row>
    <row r="255" spans="1:6" ht="21.95" customHeight="1" x14ac:dyDescent="0.25">
      <c r="A255" s="34" t="s">
        <v>403</v>
      </c>
      <c r="B255" s="34"/>
      <c r="C255" s="35" t="s">
        <v>35</v>
      </c>
      <c r="D255" s="36" t="s">
        <v>402</v>
      </c>
      <c r="E255" s="36">
        <f>COUNTIF(Questions!D:D,D255)</f>
        <v>2</v>
      </c>
      <c r="F255" s="35"/>
    </row>
    <row r="256" spans="1:6" ht="21.95" customHeight="1" x14ac:dyDescent="0.25">
      <c r="A256" s="25" t="s">
        <v>404</v>
      </c>
      <c r="B256" s="25"/>
      <c r="C256" s="26" t="s">
        <v>115</v>
      </c>
      <c r="D256" s="27" t="s">
        <v>405</v>
      </c>
      <c r="E256" s="27">
        <f>COUNTIF(Questions!D:D,D256)</f>
        <v>2</v>
      </c>
      <c r="F256" s="26"/>
    </row>
    <row r="257" spans="1:6" ht="21.95" customHeight="1" x14ac:dyDescent="0.25">
      <c r="A257" s="25" t="s">
        <v>406</v>
      </c>
      <c r="B257" s="25"/>
      <c r="C257" s="26" t="s">
        <v>115</v>
      </c>
      <c r="D257" s="27" t="s">
        <v>405</v>
      </c>
      <c r="E257" s="27">
        <f>COUNTIF(Questions!D:D,D257)</f>
        <v>2</v>
      </c>
      <c r="F257" s="26"/>
    </row>
    <row r="258" spans="1:6" ht="21.95" customHeight="1" x14ac:dyDescent="0.25">
      <c r="A258" s="46" t="s">
        <v>407</v>
      </c>
      <c r="B258" s="46"/>
      <c r="C258" s="47" t="s">
        <v>14</v>
      </c>
      <c r="D258" s="48" t="s">
        <v>408</v>
      </c>
      <c r="E258" s="48">
        <f>COUNTIF(Questions!D:D,D258)</f>
        <v>2</v>
      </c>
      <c r="F258" s="47"/>
    </row>
    <row r="259" spans="1:6" ht="21.95" customHeight="1" x14ac:dyDescent="0.25">
      <c r="A259" s="46" t="s">
        <v>409</v>
      </c>
      <c r="B259" s="46"/>
      <c r="C259" s="47" t="s">
        <v>14</v>
      </c>
      <c r="D259" s="48" t="s">
        <v>408</v>
      </c>
      <c r="E259" s="48">
        <f>COUNTIF(Questions!D:D,D259)</f>
        <v>2</v>
      </c>
      <c r="F259" s="47"/>
    </row>
    <row r="260" spans="1:6" ht="21.95" customHeight="1" x14ac:dyDescent="0.25">
      <c r="A260" s="16" t="s">
        <v>410</v>
      </c>
      <c r="B260" s="16"/>
      <c r="C260" s="17" t="s">
        <v>101</v>
      </c>
      <c r="D260" s="18" t="s">
        <v>411</v>
      </c>
      <c r="E260" s="18">
        <f>COUNTIF(Questions!D:D,D260)</f>
        <v>2</v>
      </c>
      <c r="F260" s="17"/>
    </row>
    <row r="261" spans="1:6" ht="21.95" customHeight="1" x14ac:dyDescent="0.25">
      <c r="A261" s="16" t="s">
        <v>412</v>
      </c>
      <c r="B261" s="16"/>
      <c r="C261" s="17" t="s">
        <v>101</v>
      </c>
      <c r="D261" s="18" t="s">
        <v>411</v>
      </c>
      <c r="E261" s="18">
        <f>COUNTIF(Questions!D:D,D261)</f>
        <v>2</v>
      </c>
      <c r="F261" s="17"/>
    </row>
    <row r="262" spans="1:6" ht="21.95" customHeight="1" x14ac:dyDescent="0.25">
      <c r="A262" s="46" t="s">
        <v>413</v>
      </c>
      <c r="B262" s="46"/>
      <c r="C262" s="47" t="s">
        <v>39</v>
      </c>
      <c r="D262" s="48" t="s">
        <v>414</v>
      </c>
      <c r="E262" s="48">
        <f>COUNTIF(Questions!D:D,D262)</f>
        <v>2</v>
      </c>
      <c r="F262" s="47"/>
    </row>
    <row r="263" spans="1:6" ht="21.95" customHeight="1" x14ac:dyDescent="0.25">
      <c r="A263" s="46" t="s">
        <v>415</v>
      </c>
      <c r="B263" s="46"/>
      <c r="C263" s="47" t="s">
        <v>39</v>
      </c>
      <c r="D263" s="48" t="s">
        <v>414</v>
      </c>
      <c r="E263" s="48">
        <f>COUNTIF(Questions!D:D,D263)</f>
        <v>2</v>
      </c>
      <c r="F263" s="47"/>
    </row>
    <row r="264" spans="1:6" ht="21.95" customHeight="1" x14ac:dyDescent="0.25">
      <c r="A264" s="52" t="s">
        <v>416</v>
      </c>
      <c r="B264" s="52"/>
      <c r="C264" s="53" t="s">
        <v>50</v>
      </c>
      <c r="D264" s="54" t="s">
        <v>417</v>
      </c>
      <c r="E264" s="54">
        <f>COUNTIF(Questions!D:D,D264)</f>
        <v>2</v>
      </c>
      <c r="F264" s="53"/>
    </row>
    <row r="265" spans="1:6" ht="21.95" customHeight="1" x14ac:dyDescent="0.25">
      <c r="A265" s="52" t="s">
        <v>418</v>
      </c>
      <c r="B265" s="52"/>
      <c r="C265" s="53" t="s">
        <v>50</v>
      </c>
      <c r="D265" s="54" t="s">
        <v>417</v>
      </c>
      <c r="E265" s="54">
        <f>COUNTIF(Questions!D:D,D265)</f>
        <v>2</v>
      </c>
      <c r="F265" s="53"/>
    </row>
    <row r="266" spans="1:6" ht="21.95" customHeight="1" x14ac:dyDescent="0.25">
      <c r="A266" s="52" t="s">
        <v>419</v>
      </c>
      <c r="B266" s="52"/>
      <c r="C266" s="53" t="s">
        <v>50</v>
      </c>
      <c r="D266" s="54" t="s">
        <v>420</v>
      </c>
      <c r="E266" s="54">
        <f>COUNTIF(Questions!D:D,D266)</f>
        <v>2</v>
      </c>
      <c r="F266" s="53"/>
    </row>
    <row r="267" spans="1:6" ht="21.95" customHeight="1" x14ac:dyDescent="0.25">
      <c r="A267" s="52" t="s">
        <v>421</v>
      </c>
      <c r="B267" s="52"/>
      <c r="C267" s="53" t="s">
        <v>50</v>
      </c>
      <c r="D267" s="54" t="s">
        <v>420</v>
      </c>
      <c r="E267" s="54">
        <f>COUNTIF(Questions!D:D,D267)</f>
        <v>2</v>
      </c>
      <c r="F267" s="53">
        <v>23</v>
      </c>
    </row>
    <row r="268" spans="1:6" ht="21.95" customHeight="1" x14ac:dyDescent="0.25">
      <c r="A268" s="40" t="s">
        <v>422</v>
      </c>
      <c r="B268" s="40"/>
      <c r="C268" s="41" t="s">
        <v>78</v>
      </c>
      <c r="D268" s="42" t="s">
        <v>423</v>
      </c>
      <c r="E268" s="42">
        <f>COUNTIF(Questions!D:D,D268)</f>
        <v>2</v>
      </c>
      <c r="F268" s="41"/>
    </row>
    <row r="269" spans="1:6" ht="21.95" customHeight="1" x14ac:dyDescent="0.25">
      <c r="A269" s="40" t="s">
        <v>424</v>
      </c>
      <c r="B269" s="40"/>
      <c r="C269" s="41" t="s">
        <v>78</v>
      </c>
      <c r="D269" s="42" t="s">
        <v>423</v>
      </c>
      <c r="E269" s="42">
        <f>COUNTIF(Questions!D:D,D269)</f>
        <v>2</v>
      </c>
      <c r="F269" s="41"/>
    </row>
    <row r="270" spans="1:6" ht="21.95" customHeight="1" x14ac:dyDescent="0.25">
      <c r="A270" s="28" t="s">
        <v>425</v>
      </c>
      <c r="B270" s="28"/>
      <c r="C270" s="29" t="s">
        <v>94</v>
      </c>
      <c r="D270" s="30" t="s">
        <v>426</v>
      </c>
      <c r="E270" s="30">
        <f>COUNTIF(Questions!D:D,D270)</f>
        <v>2</v>
      </c>
      <c r="F270" s="29"/>
    </row>
    <row r="271" spans="1:6" ht="21.95" customHeight="1" x14ac:dyDescent="0.25">
      <c r="A271" s="28" t="s">
        <v>427</v>
      </c>
      <c r="B271" s="28"/>
      <c r="C271" s="29" t="s">
        <v>94</v>
      </c>
      <c r="D271" s="30" t="s">
        <v>426</v>
      </c>
      <c r="E271" s="30">
        <f>COUNTIF(Questions!D:D,D271)</f>
        <v>2</v>
      </c>
      <c r="F271" s="29" t="s">
        <v>428</v>
      </c>
    </row>
    <row r="272" spans="1:6" ht="21.95" customHeight="1" x14ac:dyDescent="0.25">
      <c r="A272" s="22" t="s">
        <v>429</v>
      </c>
      <c r="B272" s="22"/>
      <c r="C272" s="23" t="s">
        <v>10</v>
      </c>
      <c r="D272" s="24" t="s">
        <v>430</v>
      </c>
      <c r="E272" s="24">
        <f>COUNTIF(Questions!D:D,D272)</f>
        <v>2</v>
      </c>
      <c r="F272" s="23"/>
    </row>
    <row r="273" spans="1:6" ht="21.95" customHeight="1" x14ac:dyDescent="0.25">
      <c r="A273" s="22" t="s">
        <v>431</v>
      </c>
      <c r="B273" s="22"/>
      <c r="C273" s="23" t="s">
        <v>10</v>
      </c>
      <c r="D273" s="24" t="s">
        <v>430</v>
      </c>
      <c r="E273" s="24">
        <f>COUNTIF(Questions!D:D,D273)</f>
        <v>2</v>
      </c>
      <c r="F273" s="23"/>
    </row>
    <row r="274" spans="1:6" ht="21.95" customHeight="1" x14ac:dyDescent="0.25">
      <c r="A274" s="6" t="s">
        <v>432</v>
      </c>
      <c r="B274" s="6"/>
      <c r="C274" s="7" t="s">
        <v>27</v>
      </c>
      <c r="D274" s="8" t="s">
        <v>433</v>
      </c>
      <c r="E274" s="8">
        <f>COUNTIF(Questions!D:D,D274)</f>
        <v>2</v>
      </c>
      <c r="F274" s="7"/>
    </row>
    <row r="275" spans="1:6" ht="21.95" customHeight="1" x14ac:dyDescent="0.25">
      <c r="A275" s="6" t="s">
        <v>434</v>
      </c>
      <c r="B275" s="6"/>
      <c r="C275" s="7" t="s">
        <v>27</v>
      </c>
      <c r="D275" s="8" t="s">
        <v>433</v>
      </c>
      <c r="E275" s="8">
        <f>COUNTIF(Questions!D:D,D275)</f>
        <v>2</v>
      </c>
      <c r="F275" s="7"/>
    </row>
    <row r="276" spans="1:6" ht="21.95" customHeight="1" x14ac:dyDescent="0.25">
      <c r="A276" s="37" t="s">
        <v>435</v>
      </c>
      <c r="B276" s="37"/>
      <c r="C276" s="38" t="s">
        <v>31</v>
      </c>
      <c r="D276" s="39" t="s">
        <v>436</v>
      </c>
      <c r="E276" s="39">
        <f>COUNTIF(Questions!D:D,D276)</f>
        <v>2</v>
      </c>
      <c r="F276" s="38"/>
    </row>
    <row r="277" spans="1:6" ht="21.95" customHeight="1" x14ac:dyDescent="0.25">
      <c r="A277" s="37" t="s">
        <v>437</v>
      </c>
      <c r="B277" s="37"/>
      <c r="C277" s="38" t="s">
        <v>31</v>
      </c>
      <c r="D277" s="39" t="s">
        <v>436</v>
      </c>
      <c r="E277" s="39">
        <f>COUNTIF(Questions!D:D,D277)</f>
        <v>2</v>
      </c>
      <c r="F277" s="38" t="s">
        <v>438</v>
      </c>
    </row>
    <row r="278" spans="1:6" ht="21.95" customHeight="1" x14ac:dyDescent="0.25">
      <c r="A278" s="37" t="s">
        <v>439</v>
      </c>
      <c r="B278" s="37"/>
      <c r="C278" s="38" t="s">
        <v>31</v>
      </c>
      <c r="D278" s="39" t="s">
        <v>440</v>
      </c>
      <c r="E278" s="39">
        <f>COUNTIF(Questions!D:D,D278)</f>
        <v>2</v>
      </c>
      <c r="F278" s="38"/>
    </row>
    <row r="279" spans="1:6" ht="21.95" customHeight="1" x14ac:dyDescent="0.25">
      <c r="A279" s="37" t="s">
        <v>441</v>
      </c>
      <c r="B279" s="37"/>
      <c r="C279" s="38" t="s">
        <v>31</v>
      </c>
      <c r="D279" s="39" t="s">
        <v>440</v>
      </c>
      <c r="E279" s="39">
        <f>COUNTIF(Questions!D:D,D279)</f>
        <v>2</v>
      </c>
      <c r="F279" s="38"/>
    </row>
    <row r="280" spans="1:6" ht="21.95" customHeight="1" x14ac:dyDescent="0.25">
      <c r="A280" s="40" t="s">
        <v>442</v>
      </c>
      <c r="B280" s="40"/>
      <c r="C280" s="41" t="s">
        <v>78</v>
      </c>
      <c r="D280" s="42" t="s">
        <v>443</v>
      </c>
      <c r="E280" s="42">
        <f>COUNTIF(Questions!D:D,D280)</f>
        <v>2</v>
      </c>
      <c r="F280" s="41"/>
    </row>
    <row r="281" spans="1:6" ht="21.95" customHeight="1" x14ac:dyDescent="0.25">
      <c r="A281" s="40" t="s">
        <v>444</v>
      </c>
      <c r="B281" s="40"/>
      <c r="C281" s="41" t="s">
        <v>78</v>
      </c>
      <c r="D281" s="42" t="s">
        <v>443</v>
      </c>
      <c r="E281" s="42">
        <f>COUNTIF(Questions!D:D,D281)</f>
        <v>2</v>
      </c>
      <c r="F281" s="41"/>
    </row>
    <row r="282" spans="1:6" ht="21.95" customHeight="1" x14ac:dyDescent="0.25">
      <c r="A282" s="40" t="s">
        <v>445</v>
      </c>
      <c r="B282" s="40"/>
      <c r="C282" s="41" t="s">
        <v>78</v>
      </c>
      <c r="D282" s="42" t="s">
        <v>446</v>
      </c>
      <c r="E282" s="42">
        <f>COUNTIF(Questions!D:D,D282)</f>
        <v>2</v>
      </c>
      <c r="F282" s="41"/>
    </row>
    <row r="283" spans="1:6" ht="21.95" customHeight="1" x14ac:dyDescent="0.25">
      <c r="A283" s="40" t="s">
        <v>447</v>
      </c>
      <c r="B283" s="40"/>
      <c r="C283" s="41" t="s">
        <v>78</v>
      </c>
      <c r="D283" s="42" t="s">
        <v>446</v>
      </c>
      <c r="E283" s="42">
        <f>COUNTIF(Questions!D:D,D283)</f>
        <v>2</v>
      </c>
      <c r="F283" s="41"/>
    </row>
    <row r="284" spans="1:6" ht="21.95" customHeight="1" x14ac:dyDescent="0.25">
      <c r="A284" s="52" t="s">
        <v>448</v>
      </c>
      <c r="B284" s="52"/>
      <c r="C284" s="53" t="s">
        <v>50</v>
      </c>
      <c r="D284" s="54" t="s">
        <v>449</v>
      </c>
      <c r="E284" s="54">
        <f>COUNTIF(Questions!D:D,D284)</f>
        <v>2</v>
      </c>
      <c r="F284" s="53"/>
    </row>
    <row r="285" spans="1:6" ht="21.95" customHeight="1" x14ac:dyDescent="0.25">
      <c r="A285" s="52" t="s">
        <v>450</v>
      </c>
      <c r="B285" s="52"/>
      <c r="C285" s="53" t="s">
        <v>50</v>
      </c>
      <c r="D285" s="54" t="s">
        <v>449</v>
      </c>
      <c r="E285" s="54">
        <f>COUNTIF(Questions!D:D,D285)</f>
        <v>2</v>
      </c>
      <c r="F285" s="53"/>
    </row>
    <row r="286" spans="1:6" ht="21.95" customHeight="1" x14ac:dyDescent="0.25">
      <c r="A286" s="37" t="s">
        <v>451</v>
      </c>
      <c r="B286" s="37"/>
      <c r="C286" s="38" t="s">
        <v>31</v>
      </c>
      <c r="D286" s="39" t="s">
        <v>452</v>
      </c>
      <c r="E286" s="39">
        <f>COUNTIF(Questions!D:D,D286)</f>
        <v>2</v>
      </c>
      <c r="F286" s="38"/>
    </row>
    <row r="287" spans="1:6" ht="21.95" customHeight="1" x14ac:dyDescent="0.25">
      <c r="A287" s="37" t="s">
        <v>453</v>
      </c>
      <c r="B287" s="37"/>
      <c r="C287" s="38" t="s">
        <v>31</v>
      </c>
      <c r="D287" s="39" t="s">
        <v>452</v>
      </c>
      <c r="E287" s="39">
        <f>COUNTIF(Questions!D:D,D287)</f>
        <v>2</v>
      </c>
      <c r="F287" s="38"/>
    </row>
    <row r="288" spans="1:6" ht="21.95" customHeight="1" x14ac:dyDescent="0.25">
      <c r="A288" s="25" t="s">
        <v>454</v>
      </c>
      <c r="B288" s="25"/>
      <c r="C288" s="26" t="s">
        <v>94</v>
      </c>
      <c r="D288" s="27" t="s">
        <v>455</v>
      </c>
      <c r="E288" s="27">
        <f>COUNTIF(Questions!D:D,D288)</f>
        <v>2</v>
      </c>
      <c r="F288" s="26"/>
    </row>
    <row r="289" spans="1:6" ht="21.95" customHeight="1" x14ac:dyDescent="0.25">
      <c r="A289" s="25" t="s">
        <v>456</v>
      </c>
      <c r="B289" s="25"/>
      <c r="C289" s="26" t="s">
        <v>94</v>
      </c>
      <c r="D289" s="27" t="s">
        <v>455</v>
      </c>
      <c r="E289" s="27">
        <f>COUNTIF(Questions!D:D,D289)</f>
        <v>2</v>
      </c>
      <c r="F289" s="26"/>
    </row>
    <row r="290" spans="1:6" ht="21.95" customHeight="1" x14ac:dyDescent="0.25">
      <c r="A290" s="37" t="s">
        <v>457</v>
      </c>
      <c r="B290" s="37"/>
      <c r="C290" s="38" t="s">
        <v>31</v>
      </c>
      <c r="D290" s="39" t="s">
        <v>458</v>
      </c>
      <c r="E290" s="39">
        <f>COUNTIF(Questions!D:D,D290)</f>
        <v>2</v>
      </c>
      <c r="F290" s="38"/>
    </row>
    <row r="291" spans="1:6" ht="21.95" customHeight="1" x14ac:dyDescent="0.25">
      <c r="A291" s="37" t="s">
        <v>459</v>
      </c>
      <c r="B291" s="37"/>
      <c r="C291" s="38" t="s">
        <v>31</v>
      </c>
      <c r="D291" s="39" t="s">
        <v>458</v>
      </c>
      <c r="E291" s="39">
        <f>COUNTIF(Questions!D:D,D291)</f>
        <v>2</v>
      </c>
      <c r="F291" s="38" t="s">
        <v>438</v>
      </c>
    </row>
    <row r="292" spans="1:6" ht="21.95" customHeight="1" x14ac:dyDescent="0.25">
      <c r="A292" s="46" t="s">
        <v>460</v>
      </c>
      <c r="B292" s="46"/>
      <c r="C292" s="47" t="s">
        <v>14</v>
      </c>
      <c r="D292" s="48" t="s">
        <v>461</v>
      </c>
      <c r="E292" s="48">
        <f>COUNTIF(Questions!D:D,D292)</f>
        <v>2</v>
      </c>
      <c r="F292" s="47"/>
    </row>
    <row r="293" spans="1:6" ht="21.95" customHeight="1" x14ac:dyDescent="0.25">
      <c r="A293" s="46" t="s">
        <v>462</v>
      </c>
      <c r="B293" s="46"/>
      <c r="C293" s="47" t="s">
        <v>14</v>
      </c>
      <c r="D293" s="48" t="s">
        <v>461</v>
      </c>
      <c r="E293" s="48">
        <f>COUNTIF(Questions!D:D,D293)</f>
        <v>2</v>
      </c>
      <c r="F293" s="47"/>
    </row>
    <row r="294" spans="1:6" ht="21.95" customHeight="1" x14ac:dyDescent="0.25">
      <c r="A294" s="37" t="s">
        <v>463</v>
      </c>
      <c r="B294" s="37"/>
      <c r="C294" s="38" t="s">
        <v>31</v>
      </c>
      <c r="D294" s="39" t="s">
        <v>464</v>
      </c>
      <c r="E294" s="39">
        <f>COUNTIF(Questions!D:D,D294)</f>
        <v>2</v>
      </c>
      <c r="F294" s="38"/>
    </row>
    <row r="295" spans="1:6" ht="21.95" customHeight="1" x14ac:dyDescent="0.25">
      <c r="A295" s="37" t="s">
        <v>465</v>
      </c>
      <c r="B295" s="37"/>
      <c r="C295" s="38" t="s">
        <v>31</v>
      </c>
      <c r="D295" s="39" t="s">
        <v>464</v>
      </c>
      <c r="E295" s="39">
        <f>COUNTIF(Questions!D:D,D295)</f>
        <v>2</v>
      </c>
      <c r="F295" s="38"/>
    </row>
    <row r="296" spans="1:6" ht="21.95" customHeight="1" x14ac:dyDescent="0.25">
      <c r="A296" s="31" t="s">
        <v>466</v>
      </c>
      <c r="B296" s="31"/>
      <c r="C296" s="32" t="s">
        <v>94</v>
      </c>
      <c r="D296" s="33" t="s">
        <v>467</v>
      </c>
      <c r="E296" s="33">
        <f>COUNTIF(Questions!D:D,D296)</f>
        <v>2</v>
      </c>
      <c r="F296" s="32"/>
    </row>
    <row r="297" spans="1:6" ht="21.95" customHeight="1" x14ac:dyDescent="0.25">
      <c r="A297" s="31" t="s">
        <v>468</v>
      </c>
      <c r="B297" s="31"/>
      <c r="C297" s="32" t="s">
        <v>94</v>
      </c>
      <c r="D297" s="33" t="s">
        <v>467</v>
      </c>
      <c r="E297" s="33">
        <f>COUNTIF(Questions!D:D,D297)</f>
        <v>2</v>
      </c>
      <c r="F297" s="32"/>
    </row>
    <row r="298" spans="1:6" ht="21.95" customHeight="1" x14ac:dyDescent="0.25">
      <c r="A298" s="52" t="s">
        <v>469</v>
      </c>
      <c r="B298" s="52"/>
      <c r="C298" s="53" t="s">
        <v>94</v>
      </c>
      <c r="D298" s="54" t="s">
        <v>470</v>
      </c>
      <c r="E298" s="54">
        <f>COUNTIF(Questions!D:D,D298)</f>
        <v>2</v>
      </c>
      <c r="F298" s="53"/>
    </row>
    <row r="299" spans="1:6" ht="21.95" customHeight="1" x14ac:dyDescent="0.25">
      <c r="A299" s="52" t="s">
        <v>471</v>
      </c>
      <c r="B299" s="52"/>
      <c r="C299" s="53" t="s">
        <v>94</v>
      </c>
      <c r="D299" s="54" t="s">
        <v>470</v>
      </c>
      <c r="E299" s="54">
        <f>COUNTIF(Questions!D:D,D299)</f>
        <v>2</v>
      </c>
      <c r="F299" s="53"/>
    </row>
    <row r="300" spans="1:6" ht="21.95" customHeight="1" x14ac:dyDescent="0.25">
      <c r="A300" s="25" t="s">
        <v>472</v>
      </c>
      <c r="B300" s="25"/>
      <c r="C300" s="26" t="s">
        <v>115</v>
      </c>
      <c r="D300" s="27" t="s">
        <v>473</v>
      </c>
      <c r="E300" s="27">
        <f>COUNTIF(Questions!D:D,D300)</f>
        <v>2</v>
      </c>
      <c r="F300" s="26"/>
    </row>
    <row r="301" spans="1:6" ht="21.95" customHeight="1" x14ac:dyDescent="0.25">
      <c r="A301" s="25" t="s">
        <v>474</v>
      </c>
      <c r="B301" s="25"/>
      <c r="C301" s="26" t="s">
        <v>115</v>
      </c>
      <c r="D301" s="27" t="s">
        <v>473</v>
      </c>
      <c r="E301" s="27">
        <f>COUNTIF(Questions!D:D,D301)</f>
        <v>2</v>
      </c>
      <c r="F301" s="26"/>
    </row>
    <row r="302" spans="1:6" ht="21.95" customHeight="1" x14ac:dyDescent="0.25">
      <c r="A302" s="31" t="s">
        <v>475</v>
      </c>
      <c r="B302" s="31"/>
      <c r="C302" s="32" t="s">
        <v>6</v>
      </c>
      <c r="D302" s="33" t="s">
        <v>476</v>
      </c>
      <c r="E302" s="33">
        <f>COUNTIF(Questions!D:D,D302)</f>
        <v>2</v>
      </c>
      <c r="F302" s="32"/>
    </row>
    <row r="303" spans="1:6" ht="21.95" customHeight="1" x14ac:dyDescent="0.25">
      <c r="A303" s="31" t="s">
        <v>477</v>
      </c>
      <c r="B303" s="31"/>
      <c r="C303" s="32" t="s">
        <v>6</v>
      </c>
      <c r="D303" s="33" t="s">
        <v>476</v>
      </c>
      <c r="E303" s="33">
        <f>COUNTIF(Questions!D:D,D303)</f>
        <v>2</v>
      </c>
      <c r="F303" s="32"/>
    </row>
    <row r="304" spans="1:6" ht="21.95" customHeight="1" x14ac:dyDescent="0.25">
      <c r="A304" s="22" t="s">
        <v>478</v>
      </c>
      <c r="B304" s="22"/>
      <c r="C304" s="23" t="s">
        <v>10</v>
      </c>
      <c r="D304" s="24" t="s">
        <v>479</v>
      </c>
      <c r="E304" s="24">
        <f>COUNTIF(Questions!D:D,D304)</f>
        <v>2</v>
      </c>
      <c r="F304" s="23"/>
    </row>
    <row r="305" spans="1:6" ht="21.95" customHeight="1" x14ac:dyDescent="0.25">
      <c r="A305" s="22" t="s">
        <v>480</v>
      </c>
      <c r="B305" s="22"/>
      <c r="C305" s="23" t="s">
        <v>10</v>
      </c>
      <c r="D305" s="24" t="s">
        <v>479</v>
      </c>
      <c r="E305" s="24">
        <f>COUNTIF(Questions!D:D,D305)</f>
        <v>2</v>
      </c>
      <c r="F305" s="23"/>
    </row>
    <row r="306" spans="1:6" ht="21.95" customHeight="1" x14ac:dyDescent="0.25">
      <c r="A306" s="28" t="s">
        <v>481</v>
      </c>
      <c r="B306" s="28"/>
      <c r="C306" s="29" t="s">
        <v>39</v>
      </c>
      <c r="D306" s="30" t="s">
        <v>482</v>
      </c>
      <c r="E306" s="30">
        <f>COUNTIF(Questions!D:D,D306)</f>
        <v>2</v>
      </c>
      <c r="F306" s="29"/>
    </row>
    <row r="307" spans="1:6" ht="21.95" customHeight="1" x14ac:dyDescent="0.25">
      <c r="A307" s="28" t="s">
        <v>483</v>
      </c>
      <c r="B307" s="28"/>
      <c r="C307" s="29" t="s">
        <v>39</v>
      </c>
      <c r="D307" s="30" t="s">
        <v>482</v>
      </c>
      <c r="E307" s="30">
        <f>COUNTIF(Questions!D:D,D307)</f>
        <v>2</v>
      </c>
      <c r="F307" s="29"/>
    </row>
    <row r="308" spans="1:6" ht="21.95" customHeight="1" x14ac:dyDescent="0.25">
      <c r="A308" s="52" t="s">
        <v>484</v>
      </c>
      <c r="B308" s="52"/>
      <c r="C308" s="53" t="s">
        <v>14</v>
      </c>
      <c r="D308" s="54" t="s">
        <v>485</v>
      </c>
      <c r="E308" s="54">
        <f>COUNTIF(Questions!D:D,D308)</f>
        <v>2</v>
      </c>
      <c r="F308" s="53"/>
    </row>
    <row r="309" spans="1:6" ht="21.95" customHeight="1" x14ac:dyDescent="0.25">
      <c r="A309" s="52" t="s">
        <v>486</v>
      </c>
      <c r="B309" s="52"/>
      <c r="C309" s="53" t="s">
        <v>14</v>
      </c>
      <c r="D309" s="54" t="s">
        <v>485</v>
      </c>
      <c r="E309" s="54">
        <f>COUNTIF(Questions!D:D,D309)</f>
        <v>2</v>
      </c>
      <c r="F309" s="53"/>
    </row>
    <row r="310" spans="1:6" ht="21.95" customHeight="1" x14ac:dyDescent="0.25">
      <c r="A310" s="13" t="s">
        <v>487</v>
      </c>
      <c r="B310" s="13"/>
      <c r="C310" s="14" t="s">
        <v>43</v>
      </c>
      <c r="D310" s="15" t="s">
        <v>488</v>
      </c>
      <c r="E310" s="15">
        <f>COUNTIF(Questions!D:D,D310)</f>
        <v>2</v>
      </c>
      <c r="F310" s="14"/>
    </row>
    <row r="311" spans="1:6" ht="21.95" customHeight="1" x14ac:dyDescent="0.25">
      <c r="A311" s="13" t="s">
        <v>489</v>
      </c>
      <c r="B311" s="13"/>
      <c r="C311" s="14" t="s">
        <v>43</v>
      </c>
      <c r="D311" s="15" t="s">
        <v>488</v>
      </c>
      <c r="E311" s="15">
        <f>COUNTIF(Questions!D:D,D311)</f>
        <v>2</v>
      </c>
      <c r="F311" s="14"/>
    </row>
    <row r="312" spans="1:6" ht="21.95" customHeight="1" x14ac:dyDescent="0.25">
      <c r="A312" s="28" t="s">
        <v>490</v>
      </c>
      <c r="B312" s="28"/>
      <c r="C312" s="29" t="s">
        <v>115</v>
      </c>
      <c r="D312" s="30" t="s">
        <v>491</v>
      </c>
      <c r="E312" s="30">
        <f>COUNTIF(Questions!D:D,D312)</f>
        <v>2</v>
      </c>
      <c r="F312" s="29"/>
    </row>
    <row r="313" spans="1:6" ht="21.95" customHeight="1" x14ac:dyDescent="0.25">
      <c r="A313" s="28" t="s">
        <v>492</v>
      </c>
      <c r="B313" s="28"/>
      <c r="C313" s="29" t="s">
        <v>115</v>
      </c>
      <c r="D313" s="30" t="s">
        <v>491</v>
      </c>
      <c r="E313" s="30">
        <f>COUNTIF(Questions!D:D,D313)</f>
        <v>2</v>
      </c>
      <c r="F313" s="29"/>
    </row>
    <row r="314" spans="1:6" ht="21.95" customHeight="1" x14ac:dyDescent="0.25">
      <c r="A314" s="37" t="s">
        <v>493</v>
      </c>
      <c r="B314" s="37"/>
      <c r="C314" s="38" t="s">
        <v>31</v>
      </c>
      <c r="D314" s="39" t="s">
        <v>494</v>
      </c>
      <c r="E314" s="39">
        <f>COUNTIF(Questions!D:D,D314)</f>
        <v>2</v>
      </c>
      <c r="F314" s="38"/>
    </row>
    <row r="315" spans="1:6" ht="21.95" customHeight="1" x14ac:dyDescent="0.25">
      <c r="A315" s="37" t="s">
        <v>495</v>
      </c>
      <c r="B315" s="37"/>
      <c r="C315" s="38" t="s">
        <v>31</v>
      </c>
      <c r="D315" s="39" t="s">
        <v>494</v>
      </c>
      <c r="E315" s="39">
        <f>COUNTIF(Questions!D:D,D315)</f>
        <v>2</v>
      </c>
      <c r="F315" s="38"/>
    </row>
    <row r="316" spans="1:6" ht="21.95" customHeight="1" x14ac:dyDescent="0.25">
      <c r="A316" s="37" t="s">
        <v>496</v>
      </c>
      <c r="B316" s="37"/>
      <c r="C316" s="38" t="s">
        <v>31</v>
      </c>
      <c r="D316" s="39" t="s">
        <v>497</v>
      </c>
      <c r="E316" s="39">
        <f>COUNTIF(Questions!D:D,D316)</f>
        <v>2</v>
      </c>
      <c r="F316" s="38"/>
    </row>
    <row r="317" spans="1:6" ht="21.95" customHeight="1" x14ac:dyDescent="0.25">
      <c r="A317" s="13" t="s">
        <v>498</v>
      </c>
      <c r="B317" s="13"/>
      <c r="C317" s="14" t="s">
        <v>43</v>
      </c>
      <c r="D317" s="15" t="s">
        <v>499</v>
      </c>
      <c r="E317" s="15">
        <f>COUNTIF(Questions!D:D,D317)</f>
        <v>2</v>
      </c>
      <c r="F317" s="14"/>
    </row>
    <row r="318" spans="1:6" ht="21.95" customHeight="1" x14ac:dyDescent="0.25">
      <c r="A318" s="13" t="s">
        <v>500</v>
      </c>
      <c r="B318" s="13"/>
      <c r="C318" s="14" t="s">
        <v>43</v>
      </c>
      <c r="D318" s="15" t="s">
        <v>499</v>
      </c>
      <c r="E318" s="15">
        <f>COUNTIF(Questions!D:D,D318)</f>
        <v>2</v>
      </c>
      <c r="F318" s="14"/>
    </row>
    <row r="319" spans="1:6" ht="21.95" customHeight="1" x14ac:dyDescent="0.25">
      <c r="A319" s="37" t="s">
        <v>501</v>
      </c>
      <c r="B319" s="37"/>
      <c r="C319" s="38" t="s">
        <v>31</v>
      </c>
      <c r="D319" s="39" t="s">
        <v>502</v>
      </c>
      <c r="E319" s="39">
        <f>COUNTIF(Questions!D:D,D319)</f>
        <v>2</v>
      </c>
      <c r="F319" s="38"/>
    </row>
    <row r="320" spans="1:6" ht="21.95" customHeight="1" x14ac:dyDescent="0.25">
      <c r="A320" s="37" t="s">
        <v>503</v>
      </c>
      <c r="B320" s="37"/>
      <c r="C320" s="38" t="s">
        <v>31</v>
      </c>
      <c r="D320" s="39" t="s">
        <v>502</v>
      </c>
      <c r="E320" s="39">
        <f>COUNTIF(Questions!D:D,D320)</f>
        <v>2</v>
      </c>
      <c r="F320" s="38"/>
    </row>
    <row r="321" spans="1:6" ht="21.95" customHeight="1" x14ac:dyDescent="0.25">
      <c r="A321" s="25" t="s">
        <v>504</v>
      </c>
      <c r="B321" s="25"/>
      <c r="C321" s="26" t="s">
        <v>115</v>
      </c>
      <c r="D321" s="27" t="s">
        <v>505</v>
      </c>
      <c r="E321" s="27">
        <f>COUNTIF(Questions!D:D,D321)</f>
        <v>2</v>
      </c>
      <c r="F321" s="26"/>
    </row>
    <row r="322" spans="1:6" ht="21.95" customHeight="1" x14ac:dyDescent="0.25">
      <c r="A322" s="25" t="s">
        <v>506</v>
      </c>
      <c r="B322" s="25"/>
      <c r="C322" s="26" t="s">
        <v>115</v>
      </c>
      <c r="D322" s="27" t="s">
        <v>505</v>
      </c>
      <c r="E322" s="27">
        <f>COUNTIF(Questions!D:D,D322)</f>
        <v>2</v>
      </c>
      <c r="F322" s="26">
        <v>23</v>
      </c>
    </row>
    <row r="323" spans="1:6" ht="21.95" customHeight="1" x14ac:dyDescent="0.25">
      <c r="A323" s="37" t="s">
        <v>507</v>
      </c>
      <c r="B323" s="37"/>
      <c r="C323" s="38" t="s">
        <v>6</v>
      </c>
      <c r="D323" s="39" t="s">
        <v>508</v>
      </c>
      <c r="E323" s="39">
        <f>COUNTIF(Questions!D:D,D323)</f>
        <v>2</v>
      </c>
      <c r="F323" s="38"/>
    </row>
    <row r="324" spans="1:6" ht="21.95" customHeight="1" x14ac:dyDescent="0.25">
      <c r="A324" s="37" t="s">
        <v>509</v>
      </c>
      <c r="B324" s="37"/>
      <c r="C324" s="38" t="s">
        <v>31</v>
      </c>
      <c r="D324" s="39" t="s">
        <v>497</v>
      </c>
      <c r="E324" s="39">
        <f>COUNTIF(Questions!D:D,D324)</f>
        <v>2</v>
      </c>
      <c r="F324" s="38"/>
    </row>
    <row r="325" spans="1:6" ht="21.95" customHeight="1" x14ac:dyDescent="0.25">
      <c r="A325" s="37" t="s">
        <v>510</v>
      </c>
      <c r="B325" s="37"/>
      <c r="C325" s="38" t="s">
        <v>6</v>
      </c>
      <c r="D325" s="39" t="s">
        <v>508</v>
      </c>
      <c r="E325" s="39">
        <f>COUNTIF(Questions!D:D,D325)</f>
        <v>2</v>
      </c>
      <c r="F325" s="38"/>
    </row>
    <row r="326" spans="1:6" ht="21.95" customHeight="1" x14ac:dyDescent="0.25">
      <c r="A326" s="37" t="s">
        <v>511</v>
      </c>
      <c r="B326" s="37"/>
      <c r="C326" s="38" t="s">
        <v>31</v>
      </c>
      <c r="D326" s="39" t="s">
        <v>512</v>
      </c>
      <c r="E326" s="39">
        <f>COUNTIF(Questions!D:D,D326)</f>
        <v>2</v>
      </c>
      <c r="F326" s="38"/>
    </row>
    <row r="327" spans="1:6" ht="21.95" customHeight="1" x14ac:dyDescent="0.25">
      <c r="A327" s="37" t="s">
        <v>513</v>
      </c>
      <c r="B327" s="37"/>
      <c r="C327" s="38" t="s">
        <v>31</v>
      </c>
      <c r="D327" s="39" t="s">
        <v>512</v>
      </c>
      <c r="E327" s="39">
        <f>COUNTIF(Questions!D:D,D327)</f>
        <v>2</v>
      </c>
      <c r="F327" s="38"/>
    </row>
    <row r="328" spans="1:6" ht="21.95" customHeight="1" x14ac:dyDescent="0.25">
      <c r="A328" s="37" t="s">
        <v>514</v>
      </c>
      <c r="B328" s="37"/>
      <c r="C328" s="38" t="s">
        <v>31</v>
      </c>
      <c r="D328" s="39" t="s">
        <v>515</v>
      </c>
      <c r="E328" s="39">
        <f>COUNTIF(Questions!D:D,D328)</f>
        <v>2</v>
      </c>
      <c r="F328" s="38"/>
    </row>
    <row r="329" spans="1:6" ht="21.95" customHeight="1" x14ac:dyDescent="0.25">
      <c r="A329" s="37" t="s">
        <v>516</v>
      </c>
      <c r="B329" s="37"/>
      <c r="C329" s="38" t="s">
        <v>31</v>
      </c>
      <c r="D329" s="39" t="s">
        <v>515</v>
      </c>
      <c r="E329" s="39">
        <f>COUNTIF(Questions!D:D,D329)</f>
        <v>2</v>
      </c>
      <c r="F329" s="38"/>
    </row>
    <row r="330" spans="1:6" ht="21.95" customHeight="1" x14ac:dyDescent="0.25">
      <c r="A330" s="43" t="s">
        <v>517</v>
      </c>
      <c r="B330" s="43"/>
      <c r="C330" s="44" t="s">
        <v>6</v>
      </c>
      <c r="D330" s="45" t="s">
        <v>518</v>
      </c>
      <c r="E330" s="45">
        <f>COUNTIF(Questions!D:D,D330)</f>
        <v>2</v>
      </c>
      <c r="F330" s="44"/>
    </row>
    <row r="331" spans="1:6" ht="21.95" customHeight="1" x14ac:dyDescent="0.25">
      <c r="A331" s="43" t="s">
        <v>519</v>
      </c>
      <c r="B331" s="43"/>
      <c r="C331" s="44" t="s">
        <v>6</v>
      </c>
      <c r="D331" s="45" t="s">
        <v>518</v>
      </c>
      <c r="E331" s="45">
        <f>COUNTIF(Questions!D:D,D331)</f>
        <v>2</v>
      </c>
      <c r="F331" s="44"/>
    </row>
    <row r="332" spans="1:6" ht="21.95" customHeight="1" x14ac:dyDescent="0.25">
      <c r="A332" s="43" t="s">
        <v>520</v>
      </c>
      <c r="B332" s="43"/>
      <c r="C332" s="44" t="s">
        <v>6</v>
      </c>
      <c r="D332" s="45" t="s">
        <v>521</v>
      </c>
      <c r="E332" s="45">
        <f>COUNTIF(Questions!D:D,D332)</f>
        <v>2</v>
      </c>
      <c r="F332" s="44"/>
    </row>
    <row r="333" spans="1:6" ht="21.95" customHeight="1" x14ac:dyDescent="0.25">
      <c r="A333" s="43" t="s">
        <v>522</v>
      </c>
      <c r="B333" s="43"/>
      <c r="C333" s="44" t="s">
        <v>6</v>
      </c>
      <c r="D333" s="45" t="s">
        <v>521</v>
      </c>
      <c r="E333" s="45">
        <f>COUNTIF(Questions!D:D,D333)</f>
        <v>2</v>
      </c>
      <c r="F333" s="44"/>
    </row>
    <row r="334" spans="1:6" ht="21.95" customHeight="1" x14ac:dyDescent="0.25">
      <c r="A334" s="43" t="s">
        <v>523</v>
      </c>
      <c r="B334" s="43"/>
      <c r="C334" s="44" t="s">
        <v>6</v>
      </c>
      <c r="D334" s="45" t="s">
        <v>524</v>
      </c>
      <c r="E334" s="45">
        <f>COUNTIF(Questions!D:D,D334)</f>
        <v>2</v>
      </c>
      <c r="F334" s="44"/>
    </row>
    <row r="335" spans="1:6" ht="21.95" customHeight="1" x14ac:dyDescent="0.25">
      <c r="A335" s="43" t="s">
        <v>525</v>
      </c>
      <c r="B335" s="43"/>
      <c r="C335" s="44" t="s">
        <v>6</v>
      </c>
      <c r="D335" s="45" t="s">
        <v>524</v>
      </c>
      <c r="E335" s="45">
        <f>COUNTIF(Questions!D:D,D335)</f>
        <v>2</v>
      </c>
      <c r="F335" s="44"/>
    </row>
    <row r="336" spans="1:6" ht="21.95" customHeight="1" x14ac:dyDescent="0.25">
      <c r="A336" s="28" t="s">
        <v>526</v>
      </c>
      <c r="B336" s="28"/>
      <c r="C336" s="29" t="s">
        <v>94</v>
      </c>
      <c r="D336" s="30" t="s">
        <v>527</v>
      </c>
      <c r="E336" s="30">
        <f>COUNTIF(Questions!D:D,D336)</f>
        <v>2</v>
      </c>
      <c r="F336" s="29"/>
    </row>
    <row r="337" spans="1:6" ht="21.95" customHeight="1" x14ac:dyDescent="0.25">
      <c r="A337" s="28" t="s">
        <v>528</v>
      </c>
      <c r="B337" s="28"/>
      <c r="C337" s="29" t="s">
        <v>94</v>
      </c>
      <c r="D337" s="30" t="s">
        <v>527</v>
      </c>
      <c r="E337" s="30">
        <f>COUNTIF(Questions!D:D,D337)</f>
        <v>2</v>
      </c>
      <c r="F337" s="29" t="s">
        <v>438</v>
      </c>
    </row>
    <row r="338" spans="1:6" ht="21.95" customHeight="1" x14ac:dyDescent="0.25">
      <c r="A338" s="22" t="s">
        <v>529</v>
      </c>
      <c r="B338" s="22"/>
      <c r="C338" s="23" t="s">
        <v>10</v>
      </c>
      <c r="D338" s="24" t="s">
        <v>530</v>
      </c>
      <c r="E338" s="24">
        <f>COUNTIF(Questions!D:D,D338)</f>
        <v>2</v>
      </c>
      <c r="F338" s="23"/>
    </row>
    <row r="339" spans="1:6" ht="21.95" customHeight="1" x14ac:dyDescent="0.25">
      <c r="A339" s="22" t="s">
        <v>531</v>
      </c>
      <c r="B339" s="22"/>
      <c r="C339" s="23" t="s">
        <v>10</v>
      </c>
      <c r="D339" s="24" t="s">
        <v>530</v>
      </c>
      <c r="E339" s="24">
        <f>COUNTIF(Questions!D:D,D339)</f>
        <v>2</v>
      </c>
      <c r="F339" s="23"/>
    </row>
    <row r="340" spans="1:6" ht="21.95" customHeight="1" x14ac:dyDescent="0.25">
      <c r="A340" s="25" t="s">
        <v>532</v>
      </c>
      <c r="B340" s="25"/>
      <c r="C340" s="26" t="s">
        <v>115</v>
      </c>
      <c r="D340" s="27" t="s">
        <v>533</v>
      </c>
      <c r="E340" s="27">
        <f>COUNTIF(Questions!D:D,D340)</f>
        <v>2</v>
      </c>
      <c r="F340" s="26"/>
    </row>
    <row r="341" spans="1:6" ht="21.95" customHeight="1" x14ac:dyDescent="0.25">
      <c r="A341" s="25" t="s">
        <v>534</v>
      </c>
      <c r="B341" s="25"/>
      <c r="C341" s="26" t="s">
        <v>115</v>
      </c>
      <c r="D341" s="27" t="s">
        <v>533</v>
      </c>
      <c r="E341" s="27">
        <f>COUNTIF(Questions!D:D,D341)</f>
        <v>2</v>
      </c>
      <c r="F341" s="26"/>
    </row>
    <row r="342" spans="1:6" ht="21.95" customHeight="1" x14ac:dyDescent="0.25">
      <c r="A342" s="40" t="s">
        <v>535</v>
      </c>
      <c r="B342" s="40"/>
      <c r="C342" s="41" t="s">
        <v>78</v>
      </c>
      <c r="D342" s="42" t="s">
        <v>536</v>
      </c>
      <c r="E342" s="42">
        <f>COUNTIF(Questions!D:D,D342)</f>
        <v>2</v>
      </c>
      <c r="F342" s="41"/>
    </row>
    <row r="343" spans="1:6" ht="21.95" customHeight="1" x14ac:dyDescent="0.25">
      <c r="A343" s="40" t="s">
        <v>537</v>
      </c>
      <c r="B343" s="40"/>
      <c r="C343" s="41" t="s">
        <v>78</v>
      </c>
      <c r="D343" s="42" t="s">
        <v>536</v>
      </c>
      <c r="E343" s="42">
        <f>COUNTIF(Questions!D:D,D343)</f>
        <v>2</v>
      </c>
      <c r="F343" s="41"/>
    </row>
    <row r="344" spans="1:6" ht="21.95" customHeight="1" x14ac:dyDescent="0.25">
      <c r="A344" s="31" t="s">
        <v>538</v>
      </c>
      <c r="B344" s="31"/>
      <c r="C344" s="32" t="s">
        <v>31</v>
      </c>
      <c r="D344" s="33" t="s">
        <v>539</v>
      </c>
      <c r="E344" s="33">
        <f>COUNTIF(Questions!D:D,D344)</f>
        <v>2</v>
      </c>
      <c r="F344" s="32"/>
    </row>
    <row r="345" spans="1:6" ht="21.95" customHeight="1" x14ac:dyDescent="0.25">
      <c r="A345" s="31" t="s">
        <v>540</v>
      </c>
      <c r="B345" s="31"/>
      <c r="C345" s="32" t="s">
        <v>31</v>
      </c>
      <c r="D345" s="33" t="s">
        <v>539</v>
      </c>
      <c r="E345" s="33">
        <f>COUNTIF(Questions!D:D,D345)</f>
        <v>2</v>
      </c>
      <c r="F345" s="32"/>
    </row>
    <row r="346" spans="1:6" ht="21.95" customHeight="1" x14ac:dyDescent="0.25">
      <c r="A346" s="13" t="s">
        <v>541</v>
      </c>
      <c r="B346" s="13"/>
      <c r="C346" s="14" t="s">
        <v>43</v>
      </c>
      <c r="D346" s="15" t="s">
        <v>542</v>
      </c>
      <c r="E346" s="15">
        <f>COUNTIF(Questions!D:D,D346)</f>
        <v>2</v>
      </c>
      <c r="F346" s="14"/>
    </row>
    <row r="347" spans="1:6" ht="21.95" customHeight="1" x14ac:dyDescent="0.25">
      <c r="A347" s="13" t="s">
        <v>543</v>
      </c>
      <c r="B347" s="13"/>
      <c r="C347" s="14" t="s">
        <v>43</v>
      </c>
      <c r="D347" s="15" t="s">
        <v>542</v>
      </c>
      <c r="E347" s="15">
        <f>COUNTIF(Questions!D:D,D347)</f>
        <v>2</v>
      </c>
      <c r="F347" s="14"/>
    </row>
    <row r="348" spans="1:6" ht="21.95" customHeight="1" x14ac:dyDescent="0.25">
      <c r="A348" s="46" t="s">
        <v>544</v>
      </c>
      <c r="B348" s="46"/>
      <c r="C348" s="47" t="s">
        <v>14</v>
      </c>
      <c r="D348" s="48" t="s">
        <v>545</v>
      </c>
      <c r="E348" s="48">
        <f>COUNTIF(Questions!D:D,D348)</f>
        <v>2</v>
      </c>
      <c r="F348" s="47"/>
    </row>
    <row r="349" spans="1:6" ht="21.95" customHeight="1" x14ac:dyDescent="0.25">
      <c r="A349" s="46" t="s">
        <v>546</v>
      </c>
      <c r="B349" s="46"/>
      <c r="C349" s="47" t="s">
        <v>14</v>
      </c>
      <c r="D349" s="48" t="s">
        <v>545</v>
      </c>
      <c r="E349" s="48">
        <f>COUNTIF(Questions!D:D,D349)</f>
        <v>2</v>
      </c>
      <c r="F349" s="47"/>
    </row>
    <row r="350" spans="1:6" ht="21.95" customHeight="1" x14ac:dyDescent="0.25">
      <c r="A350" s="37" t="s">
        <v>547</v>
      </c>
      <c r="B350" s="37"/>
      <c r="C350" s="38" t="s">
        <v>31</v>
      </c>
      <c r="D350" s="39" t="s">
        <v>548</v>
      </c>
      <c r="E350" s="39">
        <f>COUNTIF(Questions!D:D,D350)</f>
        <v>2</v>
      </c>
      <c r="F350" s="38"/>
    </row>
    <row r="351" spans="1:6" ht="21.95" customHeight="1" x14ac:dyDescent="0.25">
      <c r="A351" s="37" t="s">
        <v>549</v>
      </c>
      <c r="B351" s="37"/>
      <c r="C351" s="38" t="s">
        <v>31</v>
      </c>
      <c r="D351" s="39" t="s">
        <v>548</v>
      </c>
      <c r="E351" s="39">
        <f>COUNTIF(Questions!D:D,D351)</f>
        <v>2</v>
      </c>
      <c r="F351" s="38"/>
    </row>
    <row r="352" spans="1:6" ht="21.95" customHeight="1" x14ac:dyDescent="0.25">
      <c r="A352" s="6" t="s">
        <v>550</v>
      </c>
      <c r="B352" s="6"/>
      <c r="C352" s="7" t="s">
        <v>27</v>
      </c>
      <c r="D352" s="8" t="s">
        <v>551</v>
      </c>
      <c r="E352" s="8">
        <f>COUNTIF(Questions!D:D,D352)</f>
        <v>2</v>
      </c>
      <c r="F352" s="7"/>
    </row>
    <row r="353" spans="1:6" ht="21.95" customHeight="1" x14ac:dyDescent="0.25">
      <c r="A353" s="6" t="s">
        <v>552</v>
      </c>
      <c r="B353" s="6"/>
      <c r="C353" s="7" t="s">
        <v>27</v>
      </c>
      <c r="D353" s="8" t="s">
        <v>551</v>
      </c>
      <c r="E353" s="8">
        <f>COUNTIF(Questions!D:D,D353)</f>
        <v>2</v>
      </c>
      <c r="F353" s="7"/>
    </row>
    <row r="354" spans="1:6" ht="21.95" customHeight="1" x14ac:dyDescent="0.25">
      <c r="A354" s="46" t="s">
        <v>553</v>
      </c>
      <c r="B354" s="46"/>
      <c r="C354" s="47" t="s">
        <v>14</v>
      </c>
      <c r="D354" s="48" t="s">
        <v>554</v>
      </c>
      <c r="E354" s="48">
        <f>COUNTIF(Questions!D:D,D354)</f>
        <v>2</v>
      </c>
      <c r="F354" s="47"/>
    </row>
    <row r="355" spans="1:6" ht="21.95" customHeight="1" x14ac:dyDescent="0.25">
      <c r="A355" s="46" t="s">
        <v>555</v>
      </c>
      <c r="B355" s="46"/>
      <c r="C355" s="47" t="s">
        <v>14</v>
      </c>
      <c r="D355" s="48" t="s">
        <v>554</v>
      </c>
      <c r="E355" s="48">
        <f>COUNTIF(Questions!D:D,D355)</f>
        <v>2</v>
      </c>
      <c r="F355" s="47"/>
    </row>
    <row r="356" spans="1:6" ht="21.95" customHeight="1" x14ac:dyDescent="0.25">
      <c r="A356" s="46" t="s">
        <v>556</v>
      </c>
      <c r="B356" s="46"/>
      <c r="C356" s="47" t="s">
        <v>14</v>
      </c>
      <c r="D356" s="48" t="s">
        <v>557</v>
      </c>
      <c r="E356" s="48">
        <f>COUNTIF(Questions!D:D,D356)</f>
        <v>2</v>
      </c>
      <c r="F356" s="47"/>
    </row>
    <row r="357" spans="1:6" ht="21.95" customHeight="1" x14ac:dyDescent="0.25">
      <c r="A357" s="46" t="s">
        <v>558</v>
      </c>
      <c r="B357" s="46"/>
      <c r="C357" s="47" t="s">
        <v>14</v>
      </c>
      <c r="D357" s="48" t="s">
        <v>557</v>
      </c>
      <c r="E357" s="48">
        <f>COUNTIF(Questions!D:D,D357)</f>
        <v>2</v>
      </c>
      <c r="F357" s="47"/>
    </row>
    <row r="358" spans="1:6" ht="21.95" customHeight="1" x14ac:dyDescent="0.25">
      <c r="A358" s="43" t="s">
        <v>559</v>
      </c>
      <c r="B358" s="43"/>
      <c r="C358" s="44" t="s">
        <v>6</v>
      </c>
      <c r="D358" s="45" t="s">
        <v>560</v>
      </c>
      <c r="E358" s="45">
        <f>COUNTIF(Questions!D:D,D358)</f>
        <v>2</v>
      </c>
      <c r="F358" s="44"/>
    </row>
    <row r="359" spans="1:6" ht="21.95" customHeight="1" x14ac:dyDescent="0.25">
      <c r="A359" s="43" t="s">
        <v>561</v>
      </c>
      <c r="B359" s="43"/>
      <c r="C359" s="44" t="s">
        <v>6</v>
      </c>
      <c r="D359" s="45" t="s">
        <v>560</v>
      </c>
      <c r="E359" s="45">
        <f>COUNTIF(Questions!D:D,D359)</f>
        <v>2</v>
      </c>
      <c r="F359" s="44"/>
    </row>
    <row r="360" spans="1:6" ht="21.95" customHeight="1" x14ac:dyDescent="0.25">
      <c r="A360" s="43" t="s">
        <v>562</v>
      </c>
      <c r="B360" s="43"/>
      <c r="C360" s="44" t="s">
        <v>6</v>
      </c>
      <c r="D360" s="45" t="s">
        <v>563</v>
      </c>
      <c r="E360" s="45">
        <f>COUNTIF(Questions!D:D,D360)</f>
        <v>2</v>
      </c>
      <c r="F360" s="44"/>
    </row>
    <row r="361" spans="1:6" ht="21.95" customHeight="1" x14ac:dyDescent="0.25">
      <c r="A361" s="43" t="s">
        <v>564</v>
      </c>
      <c r="B361" s="43"/>
      <c r="C361" s="44" t="s">
        <v>6</v>
      </c>
      <c r="D361" s="45" t="s">
        <v>563</v>
      </c>
      <c r="E361" s="45">
        <f>COUNTIF(Questions!D:D,D361)</f>
        <v>2</v>
      </c>
      <c r="F361" s="44"/>
    </row>
    <row r="362" spans="1:6" ht="21.95" customHeight="1" x14ac:dyDescent="0.25">
      <c r="A362" s="34" t="s">
        <v>565</v>
      </c>
      <c r="B362" s="34"/>
      <c r="C362" s="35" t="s">
        <v>35</v>
      </c>
      <c r="D362" s="36" t="s">
        <v>566</v>
      </c>
      <c r="E362" s="36">
        <f>COUNTIF(Questions!D:D,D362)</f>
        <v>2</v>
      </c>
      <c r="F362" s="35"/>
    </row>
    <row r="363" spans="1:6" ht="21.95" customHeight="1" x14ac:dyDescent="0.25">
      <c r="A363" s="34" t="s">
        <v>567</v>
      </c>
      <c r="B363" s="34"/>
      <c r="C363" s="35" t="s">
        <v>35</v>
      </c>
      <c r="D363" s="36" t="s">
        <v>566</v>
      </c>
      <c r="E363" s="36">
        <f>COUNTIF(Questions!D:D,D363)</f>
        <v>2</v>
      </c>
      <c r="F363" s="35"/>
    </row>
    <row r="364" spans="1:6" ht="21.95" customHeight="1" x14ac:dyDescent="0.25">
      <c r="A364" s="25" t="s">
        <v>568</v>
      </c>
      <c r="B364" s="25"/>
      <c r="C364" s="26" t="s">
        <v>115</v>
      </c>
      <c r="D364" s="27" t="s">
        <v>569</v>
      </c>
      <c r="E364" s="27">
        <f>COUNTIF(Questions!D:D,D364)</f>
        <v>2</v>
      </c>
      <c r="F364" s="26"/>
    </row>
    <row r="365" spans="1:6" ht="21.95" customHeight="1" x14ac:dyDescent="0.25">
      <c r="A365" s="25" t="s">
        <v>570</v>
      </c>
      <c r="B365" s="25"/>
      <c r="C365" s="26" t="s">
        <v>115</v>
      </c>
      <c r="D365" s="27" t="s">
        <v>569</v>
      </c>
      <c r="E365" s="27">
        <f>COUNTIF(Questions!D:D,D365)</f>
        <v>2</v>
      </c>
      <c r="F365" s="26"/>
    </row>
    <row r="366" spans="1:6" ht="21.95" customHeight="1" x14ac:dyDescent="0.25">
      <c r="A366" s="28" t="s">
        <v>571</v>
      </c>
      <c r="B366" s="28"/>
      <c r="C366" s="29" t="s">
        <v>94</v>
      </c>
      <c r="D366" s="30" t="s">
        <v>572</v>
      </c>
      <c r="E366" s="30">
        <f>COUNTIF(Questions!D:D,D366)</f>
        <v>2</v>
      </c>
      <c r="F366" s="29"/>
    </row>
    <row r="367" spans="1:6" ht="21.95" customHeight="1" x14ac:dyDescent="0.25">
      <c r="A367" s="28" t="s">
        <v>573</v>
      </c>
      <c r="B367" s="28"/>
      <c r="C367" s="29" t="s">
        <v>94</v>
      </c>
      <c r="D367" s="30" t="s">
        <v>572</v>
      </c>
      <c r="E367" s="30">
        <f>COUNTIF(Questions!D:D,D367)</f>
        <v>2</v>
      </c>
      <c r="F367" s="29" t="s">
        <v>438</v>
      </c>
    </row>
    <row r="368" spans="1:6" ht="21.95" customHeight="1" x14ac:dyDescent="0.25">
      <c r="A368" s="28" t="s">
        <v>574</v>
      </c>
      <c r="B368" s="28"/>
      <c r="C368" s="29" t="s">
        <v>94</v>
      </c>
      <c r="D368" s="30" t="s">
        <v>575</v>
      </c>
      <c r="E368" s="30">
        <f>COUNTIF(Questions!D:D,D368)</f>
        <v>2</v>
      </c>
      <c r="F368" s="29"/>
    </row>
    <row r="369" spans="1:6" ht="21.95" customHeight="1" x14ac:dyDescent="0.25">
      <c r="A369" s="28" t="s">
        <v>576</v>
      </c>
      <c r="B369" s="28"/>
      <c r="C369" s="29" t="s">
        <v>94</v>
      </c>
      <c r="D369" s="30" t="s">
        <v>575</v>
      </c>
      <c r="E369" s="30">
        <f>COUNTIF(Questions!D:D,D369)</f>
        <v>2</v>
      </c>
      <c r="F369" s="29"/>
    </row>
    <row r="370" spans="1:6" ht="21.95" customHeight="1" x14ac:dyDescent="0.25">
      <c r="A370" s="49" t="s">
        <v>577</v>
      </c>
      <c r="B370" s="49"/>
      <c r="C370" s="50" t="s">
        <v>39</v>
      </c>
      <c r="D370" s="51" t="s">
        <v>578</v>
      </c>
      <c r="E370" s="51">
        <f>COUNTIF(Questions!D:D,D370)</f>
        <v>2</v>
      </c>
      <c r="F370" s="50"/>
    </row>
    <row r="371" spans="1:6" ht="21.95" customHeight="1" x14ac:dyDescent="0.25">
      <c r="A371" s="49" t="s">
        <v>579</v>
      </c>
      <c r="B371" s="49"/>
      <c r="C371" s="50" t="s">
        <v>39</v>
      </c>
      <c r="D371" s="51" t="s">
        <v>578</v>
      </c>
      <c r="E371" s="51">
        <f>COUNTIF(Questions!D:D,D371)</f>
        <v>2</v>
      </c>
      <c r="F371" s="50"/>
    </row>
    <row r="372" spans="1:6" ht="21.95" customHeight="1" x14ac:dyDescent="0.25">
      <c r="A372" s="49" t="s">
        <v>580</v>
      </c>
      <c r="B372" s="49"/>
      <c r="C372" s="50" t="s">
        <v>39</v>
      </c>
      <c r="D372" s="51" t="s">
        <v>581</v>
      </c>
      <c r="E372" s="51">
        <f>COUNTIF(Questions!D:D,D372)</f>
        <v>2</v>
      </c>
      <c r="F372" s="50"/>
    </row>
    <row r="373" spans="1:6" ht="21.95" customHeight="1" x14ac:dyDescent="0.25">
      <c r="A373" s="49" t="s">
        <v>582</v>
      </c>
      <c r="B373" s="49"/>
      <c r="C373" s="50" t="s">
        <v>39</v>
      </c>
      <c r="D373" s="51" t="s">
        <v>581</v>
      </c>
      <c r="E373" s="51">
        <f>COUNTIF(Questions!D:D,D373)</f>
        <v>2</v>
      </c>
      <c r="F373" s="50"/>
    </row>
    <row r="374" spans="1:6" ht="21.95" customHeight="1" x14ac:dyDescent="0.25">
      <c r="A374" s="25" t="s">
        <v>583</v>
      </c>
      <c r="B374" s="25"/>
      <c r="C374" s="26" t="s">
        <v>115</v>
      </c>
      <c r="D374" s="27" t="s">
        <v>584</v>
      </c>
      <c r="E374" s="27">
        <f>COUNTIF(Questions!D:D,D374)</f>
        <v>2</v>
      </c>
      <c r="F374" s="26"/>
    </row>
    <row r="375" spans="1:6" ht="21.95" customHeight="1" x14ac:dyDescent="0.25">
      <c r="A375" s="25" t="s">
        <v>585</v>
      </c>
      <c r="B375" s="25"/>
      <c r="C375" s="26" t="s">
        <v>115</v>
      </c>
      <c r="D375" s="27" t="s">
        <v>584</v>
      </c>
      <c r="E375" s="27">
        <f>COUNTIF(Questions!D:D,D375)</f>
        <v>2</v>
      </c>
      <c r="F375" s="26"/>
    </row>
    <row r="376" spans="1:6" ht="21.95" customHeight="1" x14ac:dyDescent="0.25">
      <c r="A376" s="46" t="s">
        <v>586</v>
      </c>
      <c r="B376" s="46"/>
      <c r="C376" s="47" t="s">
        <v>14</v>
      </c>
      <c r="D376" s="48" t="s">
        <v>587</v>
      </c>
      <c r="E376" s="48">
        <f>COUNTIF(Questions!D:D,D376)</f>
        <v>2</v>
      </c>
      <c r="F376" s="47"/>
    </row>
    <row r="377" spans="1:6" ht="21.95" customHeight="1" x14ac:dyDescent="0.25">
      <c r="A377" s="46" t="s">
        <v>588</v>
      </c>
      <c r="B377" s="46"/>
      <c r="C377" s="47" t="s">
        <v>14</v>
      </c>
      <c r="D377" s="48" t="s">
        <v>587</v>
      </c>
      <c r="E377" s="48">
        <f>COUNTIF(Questions!D:D,D377)</f>
        <v>2</v>
      </c>
      <c r="F377" s="47"/>
    </row>
    <row r="378" spans="1:6" ht="21.95" customHeight="1" x14ac:dyDescent="0.25">
      <c r="A378" s="37" t="s">
        <v>589</v>
      </c>
      <c r="B378" s="37"/>
      <c r="C378" s="38" t="s">
        <v>31</v>
      </c>
      <c r="D378" s="39" t="s">
        <v>590</v>
      </c>
      <c r="E378" s="39">
        <f>COUNTIF(Questions!D:D,D378)</f>
        <v>2</v>
      </c>
      <c r="F378" s="38"/>
    </row>
    <row r="379" spans="1:6" ht="21.95" customHeight="1" x14ac:dyDescent="0.25">
      <c r="A379" s="37" t="s">
        <v>591</v>
      </c>
      <c r="B379" s="37"/>
      <c r="C379" s="38" t="s">
        <v>31</v>
      </c>
      <c r="D379" s="39" t="s">
        <v>590</v>
      </c>
      <c r="E379" s="39">
        <f>COUNTIF(Questions!D:D,D379)</f>
        <v>2</v>
      </c>
      <c r="F379" s="38"/>
    </row>
    <row r="380" spans="1:6" ht="21.95" customHeight="1" x14ac:dyDescent="0.25">
      <c r="A380" s="43" t="s">
        <v>592</v>
      </c>
      <c r="B380" s="43"/>
      <c r="C380" s="44" t="s">
        <v>14</v>
      </c>
      <c r="D380" s="45" t="s">
        <v>593</v>
      </c>
      <c r="E380" s="45">
        <f>COUNTIF(Questions!D:D,D380)</f>
        <v>2</v>
      </c>
      <c r="F380" s="44"/>
    </row>
    <row r="381" spans="1:6" ht="21.95" customHeight="1" x14ac:dyDescent="0.25">
      <c r="A381" s="43" t="s">
        <v>594</v>
      </c>
      <c r="B381" s="43"/>
      <c r="C381" s="44" t="s">
        <v>14</v>
      </c>
      <c r="D381" s="45" t="s">
        <v>593</v>
      </c>
      <c r="E381" s="45">
        <f>COUNTIF(Questions!D:D,D381)</f>
        <v>2</v>
      </c>
      <c r="F381" s="44"/>
    </row>
    <row r="382" spans="1:6" ht="21.95" customHeight="1" x14ac:dyDescent="0.25">
      <c r="A382" s="40" t="s">
        <v>595</v>
      </c>
      <c r="B382" s="40"/>
      <c r="C382" s="41" t="s">
        <v>31</v>
      </c>
      <c r="D382" s="42" t="s">
        <v>596</v>
      </c>
      <c r="E382" s="42">
        <f>COUNTIF(Questions!D:D,D382)</f>
        <v>2</v>
      </c>
      <c r="F382" s="41"/>
    </row>
    <row r="383" spans="1:6" ht="21.95" customHeight="1" x14ac:dyDescent="0.25">
      <c r="A383" s="6" t="s">
        <v>597</v>
      </c>
      <c r="B383" s="6"/>
      <c r="C383" s="7" t="s">
        <v>27</v>
      </c>
      <c r="D383" s="8" t="s">
        <v>598</v>
      </c>
      <c r="E383" s="8">
        <f>COUNTIF(Questions!D:D,D383)</f>
        <v>2</v>
      </c>
      <c r="F383" s="7"/>
    </row>
    <row r="384" spans="1:6" ht="21.95" customHeight="1" x14ac:dyDescent="0.25">
      <c r="A384" s="6" t="s">
        <v>599</v>
      </c>
      <c r="B384" s="6"/>
      <c r="C384" s="7" t="s">
        <v>27</v>
      </c>
      <c r="D384" s="8" t="s">
        <v>598</v>
      </c>
      <c r="E384" s="8">
        <f>COUNTIF(Questions!D:D,D384)</f>
        <v>2</v>
      </c>
      <c r="F384" s="7"/>
    </row>
    <row r="385" spans="1:6" ht="21.95" customHeight="1" x14ac:dyDescent="0.25">
      <c r="A385" s="25" t="s">
        <v>600</v>
      </c>
      <c r="B385" s="25"/>
      <c r="C385" s="26" t="s">
        <v>31</v>
      </c>
      <c r="D385" s="27" t="s">
        <v>596</v>
      </c>
      <c r="E385" s="27">
        <f>COUNTIF(Questions!D:D,D385)</f>
        <v>2</v>
      </c>
      <c r="F385" s="26"/>
    </row>
    <row r="386" spans="1:6" ht="21.95" customHeight="1" x14ac:dyDescent="0.25">
      <c r="A386" s="6" t="s">
        <v>601</v>
      </c>
      <c r="B386" s="6"/>
      <c r="C386" s="7" t="s">
        <v>27</v>
      </c>
      <c r="D386" s="8" t="s">
        <v>602</v>
      </c>
      <c r="E386" s="8">
        <f>COUNTIF(Questions!D:D,D386)</f>
        <v>2</v>
      </c>
      <c r="F386" s="7"/>
    </row>
    <row r="387" spans="1:6" ht="21.95" customHeight="1" x14ac:dyDescent="0.25">
      <c r="A387" s="6" t="s">
        <v>603</v>
      </c>
      <c r="B387" s="6"/>
      <c r="C387" s="7" t="s">
        <v>27</v>
      </c>
      <c r="D387" s="8" t="s">
        <v>602</v>
      </c>
      <c r="E387" s="8">
        <f>COUNTIF(Questions!D:D,D387)</f>
        <v>2</v>
      </c>
      <c r="F387" s="7"/>
    </row>
    <row r="388" spans="1:6" ht="21.95" customHeight="1" x14ac:dyDescent="0.25">
      <c r="A388" s="43" t="s">
        <v>604</v>
      </c>
      <c r="B388" s="43"/>
      <c r="C388" s="44" t="s">
        <v>6</v>
      </c>
      <c r="D388" s="45" t="s">
        <v>605</v>
      </c>
      <c r="E388" s="45">
        <f>COUNTIF(Questions!D:D,D388)</f>
        <v>2</v>
      </c>
      <c r="F388" s="44"/>
    </row>
    <row r="389" spans="1:6" ht="21.95" customHeight="1" x14ac:dyDescent="0.25">
      <c r="A389" s="43" t="s">
        <v>606</v>
      </c>
      <c r="B389" s="43"/>
      <c r="C389" s="44" t="s">
        <v>6</v>
      </c>
      <c r="D389" s="45" t="s">
        <v>605</v>
      </c>
      <c r="E389" s="45">
        <f>COUNTIF(Questions!D:D,D389)</f>
        <v>2</v>
      </c>
      <c r="F389" s="44"/>
    </row>
    <row r="390" spans="1:6" ht="21.95" customHeight="1" x14ac:dyDescent="0.25">
      <c r="A390" s="43" t="s">
        <v>607</v>
      </c>
      <c r="B390" s="43"/>
      <c r="C390" s="44" t="s">
        <v>6</v>
      </c>
      <c r="D390" s="45" t="s">
        <v>608</v>
      </c>
      <c r="E390" s="45">
        <f>COUNTIF(Questions!D:D,D390)</f>
        <v>2</v>
      </c>
      <c r="F390" s="44"/>
    </row>
    <row r="391" spans="1:6" ht="21.95" customHeight="1" x14ac:dyDescent="0.25">
      <c r="A391" s="43" t="s">
        <v>609</v>
      </c>
      <c r="B391" s="43"/>
      <c r="C391" s="44" t="s">
        <v>6</v>
      </c>
      <c r="D391" s="45" t="s">
        <v>608</v>
      </c>
      <c r="E391" s="45">
        <f>COUNTIF(Questions!D:D,D391)</f>
        <v>2</v>
      </c>
      <c r="F391" s="44"/>
    </row>
    <row r="392" spans="1:6" ht="21.95" customHeight="1" x14ac:dyDescent="0.25">
      <c r="A392" s="43" t="s">
        <v>610</v>
      </c>
      <c r="B392" s="43"/>
      <c r="C392" s="44" t="s">
        <v>6</v>
      </c>
      <c r="D392" s="45" t="s">
        <v>611</v>
      </c>
      <c r="E392" s="45">
        <f>COUNTIF(Questions!D:D,D392)</f>
        <v>2</v>
      </c>
      <c r="F392" s="44"/>
    </row>
    <row r="393" spans="1:6" ht="21.95" customHeight="1" x14ac:dyDescent="0.25">
      <c r="A393" s="43" t="s">
        <v>612</v>
      </c>
      <c r="B393" s="43"/>
      <c r="C393" s="44" t="s">
        <v>6</v>
      </c>
      <c r="D393" s="45" t="s">
        <v>611</v>
      </c>
      <c r="E393" s="45">
        <f>COUNTIF(Questions!D:D,D393)</f>
        <v>2</v>
      </c>
      <c r="F393" s="44"/>
    </row>
    <row r="394" spans="1:6" ht="21.95" customHeight="1" x14ac:dyDescent="0.25">
      <c r="A394" s="28" t="s">
        <v>613</v>
      </c>
      <c r="B394" s="28"/>
      <c r="C394" s="29" t="s">
        <v>94</v>
      </c>
      <c r="D394" s="30" t="s">
        <v>614</v>
      </c>
      <c r="E394" s="30">
        <f>COUNTIF(Questions!D:D,D394)</f>
        <v>2</v>
      </c>
      <c r="F394" s="29"/>
    </row>
    <row r="395" spans="1:6" ht="21.95" customHeight="1" x14ac:dyDescent="0.25">
      <c r="A395" s="28" t="s">
        <v>615</v>
      </c>
      <c r="B395" s="28"/>
      <c r="C395" s="29" t="s">
        <v>94</v>
      </c>
      <c r="D395" s="30" t="s">
        <v>614</v>
      </c>
      <c r="E395" s="30">
        <f>COUNTIF(Questions!D:D,D395)</f>
        <v>2</v>
      </c>
      <c r="F395" s="29"/>
    </row>
    <row r="396" spans="1:6" ht="21.95" customHeight="1" x14ac:dyDescent="0.25">
      <c r="A396" s="25" t="s">
        <v>616</v>
      </c>
      <c r="B396" s="25"/>
      <c r="C396" s="26" t="s">
        <v>27</v>
      </c>
      <c r="D396" s="27" t="s">
        <v>617</v>
      </c>
      <c r="E396" s="27">
        <f>COUNTIF(Questions!D:D,D396)</f>
        <v>2</v>
      </c>
      <c r="F396" s="26"/>
    </row>
    <row r="397" spans="1:6" ht="21.95" customHeight="1" x14ac:dyDescent="0.25">
      <c r="A397" s="25" t="s">
        <v>618</v>
      </c>
      <c r="B397" s="25"/>
      <c r="C397" s="26" t="s">
        <v>27</v>
      </c>
      <c r="D397" s="27" t="s">
        <v>617</v>
      </c>
      <c r="E397" s="27">
        <f>COUNTIF(Questions!D:D,D397)</f>
        <v>2</v>
      </c>
      <c r="F397" s="26"/>
    </row>
    <row r="398" spans="1:6" ht="21.95" customHeight="1" x14ac:dyDescent="0.25">
      <c r="A398" s="13" t="s">
        <v>619</v>
      </c>
      <c r="B398" s="13"/>
      <c r="C398" s="14" t="s">
        <v>43</v>
      </c>
      <c r="D398" s="15" t="s">
        <v>620</v>
      </c>
      <c r="E398" s="15">
        <f>COUNTIF(Questions!D:D,D398)</f>
        <v>2</v>
      </c>
      <c r="F398" s="14"/>
    </row>
    <row r="399" spans="1:6" ht="21.95" customHeight="1" x14ac:dyDescent="0.25">
      <c r="A399" s="13" t="s">
        <v>621</v>
      </c>
      <c r="B399" s="13"/>
      <c r="C399" s="14" t="s">
        <v>43</v>
      </c>
      <c r="D399" s="15" t="s">
        <v>622</v>
      </c>
      <c r="E399" s="15">
        <f>COUNTIF(Questions!D:D,D399)</f>
        <v>2</v>
      </c>
      <c r="F399" s="14"/>
    </row>
    <row r="400" spans="1:6" ht="21.95" customHeight="1" x14ac:dyDescent="0.25">
      <c r="A400" s="13" t="s">
        <v>623</v>
      </c>
      <c r="B400" s="13"/>
      <c r="C400" s="14" t="s">
        <v>43</v>
      </c>
      <c r="D400" s="15" t="s">
        <v>622</v>
      </c>
      <c r="E400" s="15">
        <f>COUNTIF(Questions!D:D,D400)</f>
        <v>2</v>
      </c>
      <c r="F400" s="14"/>
    </row>
    <row r="401" spans="1:6" ht="21.95" customHeight="1" x14ac:dyDescent="0.25">
      <c r="A401" s="13" t="s">
        <v>624</v>
      </c>
      <c r="B401" s="13"/>
      <c r="C401" s="14" t="s">
        <v>43</v>
      </c>
      <c r="D401" s="15" t="s">
        <v>620</v>
      </c>
      <c r="E401" s="15">
        <f>COUNTIF(Questions!D:D,D401)</f>
        <v>2</v>
      </c>
      <c r="F401" s="14"/>
    </row>
    <row r="402" spans="1:6" ht="21.95" customHeight="1" x14ac:dyDescent="0.25">
      <c r="A402" s="13" t="s">
        <v>625</v>
      </c>
      <c r="B402" s="13"/>
      <c r="C402" s="14" t="s">
        <v>43</v>
      </c>
      <c r="D402" s="15" t="s">
        <v>626</v>
      </c>
      <c r="E402" s="15">
        <f>COUNTIF(Questions!D:D,D402)</f>
        <v>2</v>
      </c>
      <c r="F402" s="14"/>
    </row>
    <row r="403" spans="1:6" ht="21.95" customHeight="1" x14ac:dyDescent="0.25">
      <c r="A403" s="13" t="s">
        <v>627</v>
      </c>
      <c r="B403" s="13"/>
      <c r="C403" s="14" t="s">
        <v>43</v>
      </c>
      <c r="D403" s="15" t="s">
        <v>626</v>
      </c>
      <c r="E403" s="15">
        <f>COUNTIF(Questions!D:D,D403)</f>
        <v>2</v>
      </c>
      <c r="F403" s="14"/>
    </row>
    <row r="404" spans="1:6" ht="21.95" customHeight="1" x14ac:dyDescent="0.25">
      <c r="A404" s="49" t="s">
        <v>628</v>
      </c>
      <c r="B404" s="49"/>
      <c r="C404" s="50" t="s">
        <v>39</v>
      </c>
      <c r="D404" s="51" t="s">
        <v>629</v>
      </c>
      <c r="E404" s="51">
        <f>COUNTIF(Questions!D:D,D404)</f>
        <v>2</v>
      </c>
      <c r="F404" s="50"/>
    </row>
    <row r="405" spans="1:6" ht="21.95" customHeight="1" x14ac:dyDescent="0.25">
      <c r="A405" s="49" t="s">
        <v>630</v>
      </c>
      <c r="B405" s="49"/>
      <c r="C405" s="50" t="s">
        <v>39</v>
      </c>
      <c r="D405" s="51" t="s">
        <v>629</v>
      </c>
      <c r="E405" s="51">
        <f>COUNTIF(Questions!D:D,D405)</f>
        <v>2</v>
      </c>
      <c r="F405" s="50"/>
    </row>
    <row r="406" spans="1:6" ht="21.95" customHeight="1" x14ac:dyDescent="0.25">
      <c r="A406" s="28" t="s">
        <v>631</v>
      </c>
      <c r="B406" s="28"/>
      <c r="C406" s="29" t="s">
        <v>94</v>
      </c>
      <c r="D406" s="30" t="s">
        <v>632</v>
      </c>
      <c r="E406" s="30">
        <f>COUNTIF(Questions!D:D,D406)</f>
        <v>2</v>
      </c>
      <c r="F406" s="29"/>
    </row>
    <row r="407" spans="1:6" ht="21.95" customHeight="1" x14ac:dyDescent="0.25">
      <c r="A407" s="28" t="s">
        <v>633</v>
      </c>
      <c r="B407" s="28"/>
      <c r="C407" s="29" t="s">
        <v>94</v>
      </c>
      <c r="D407" s="30" t="s">
        <v>632</v>
      </c>
      <c r="E407" s="30">
        <f>COUNTIF(Questions!D:D,D407)</f>
        <v>2</v>
      </c>
      <c r="F407" s="29"/>
    </row>
    <row r="408" spans="1:6" ht="21.95" customHeight="1" x14ac:dyDescent="0.25">
      <c r="A408" s="43" t="s">
        <v>634</v>
      </c>
      <c r="B408" s="43"/>
      <c r="C408" s="44" t="s">
        <v>50</v>
      </c>
      <c r="D408" s="45" t="s">
        <v>635</v>
      </c>
      <c r="E408" s="45">
        <f>COUNTIF(Questions!D:D,D408)</f>
        <v>2</v>
      </c>
      <c r="F408" s="44"/>
    </row>
    <row r="409" spans="1:6" ht="21.95" customHeight="1" x14ac:dyDescent="0.25">
      <c r="A409" s="43" t="s">
        <v>636</v>
      </c>
      <c r="B409" s="43"/>
      <c r="C409" s="44" t="s">
        <v>50</v>
      </c>
      <c r="D409" s="45" t="s">
        <v>635</v>
      </c>
      <c r="E409" s="45">
        <f>COUNTIF(Questions!D:D,D409)</f>
        <v>2</v>
      </c>
      <c r="F409" s="44"/>
    </row>
    <row r="410" spans="1:6" ht="21.95" customHeight="1" x14ac:dyDescent="0.25">
      <c r="A410" s="52" t="s">
        <v>637</v>
      </c>
      <c r="B410" s="52"/>
      <c r="C410" s="53" t="s">
        <v>50</v>
      </c>
      <c r="D410" s="54" t="s">
        <v>638</v>
      </c>
      <c r="E410" s="54">
        <f>COUNTIF(Questions!D:D,D410)</f>
        <v>2</v>
      </c>
      <c r="F410" s="53"/>
    </row>
    <row r="411" spans="1:6" ht="21.95" customHeight="1" x14ac:dyDescent="0.25">
      <c r="A411" s="52" t="s">
        <v>639</v>
      </c>
      <c r="B411" s="52"/>
      <c r="C411" s="53" t="s">
        <v>50</v>
      </c>
      <c r="D411" s="54" t="s">
        <v>638</v>
      </c>
      <c r="E411" s="54">
        <f>COUNTIF(Questions!D:D,D411)</f>
        <v>2</v>
      </c>
      <c r="F411" s="53"/>
    </row>
    <row r="412" spans="1:6" ht="21.95" customHeight="1" x14ac:dyDescent="0.25">
      <c r="A412" s="25" t="s">
        <v>640</v>
      </c>
      <c r="B412" s="25"/>
      <c r="C412" s="26" t="s">
        <v>115</v>
      </c>
      <c r="D412" s="27" t="s">
        <v>641</v>
      </c>
      <c r="E412" s="27">
        <f>COUNTIF(Questions!D:D,D412)</f>
        <v>2</v>
      </c>
      <c r="F412" s="26"/>
    </row>
    <row r="413" spans="1:6" ht="21.95" customHeight="1" x14ac:dyDescent="0.25">
      <c r="A413" s="25" t="s">
        <v>642</v>
      </c>
      <c r="B413" s="25"/>
      <c r="C413" s="26" t="s">
        <v>115</v>
      </c>
      <c r="D413" s="27" t="s">
        <v>641</v>
      </c>
      <c r="E413" s="27">
        <f>COUNTIF(Questions!D:D,D413)</f>
        <v>2</v>
      </c>
      <c r="F413" s="26"/>
    </row>
    <row r="414" spans="1:6" ht="21.95" customHeight="1" x14ac:dyDescent="0.25">
      <c r="A414" s="37" t="s">
        <v>643</v>
      </c>
      <c r="B414" s="37"/>
      <c r="C414" s="38" t="s">
        <v>31</v>
      </c>
      <c r="D414" s="39" t="s">
        <v>644</v>
      </c>
      <c r="E414" s="39">
        <f>COUNTIF(Questions!D:D,D414)</f>
        <v>2</v>
      </c>
      <c r="F414" s="38"/>
    </row>
    <row r="415" spans="1:6" ht="21.95" customHeight="1" x14ac:dyDescent="0.25">
      <c r="A415" s="37" t="s">
        <v>645</v>
      </c>
      <c r="B415" s="37"/>
      <c r="C415" s="38" t="s">
        <v>31</v>
      </c>
      <c r="D415" s="39" t="s">
        <v>644</v>
      </c>
      <c r="E415" s="39">
        <f>COUNTIF(Questions!D:D,D415)</f>
        <v>2</v>
      </c>
      <c r="F415" s="38"/>
    </row>
    <row r="416" spans="1:6" ht="21.95" customHeight="1" x14ac:dyDescent="0.25">
      <c r="A416" s="22" t="s">
        <v>646</v>
      </c>
      <c r="B416" s="22"/>
      <c r="C416" s="23" t="s">
        <v>10</v>
      </c>
      <c r="D416" s="24" t="s">
        <v>647</v>
      </c>
      <c r="E416" s="24">
        <f>COUNTIF(Questions!D:D,D416)</f>
        <v>2</v>
      </c>
      <c r="F416" s="23"/>
    </row>
    <row r="417" spans="1:6" ht="21.95" customHeight="1" x14ac:dyDescent="0.25">
      <c r="A417" s="22" t="s">
        <v>648</v>
      </c>
      <c r="B417" s="22"/>
      <c r="C417" s="23" t="s">
        <v>10</v>
      </c>
      <c r="D417" s="24" t="s">
        <v>647</v>
      </c>
      <c r="E417" s="24">
        <f>COUNTIF(Questions!D:D,D417)</f>
        <v>2</v>
      </c>
      <c r="F417" s="23"/>
    </row>
    <row r="418" spans="1:6" ht="21.95" customHeight="1" x14ac:dyDescent="0.25">
      <c r="A418" s="43" t="s">
        <v>649</v>
      </c>
      <c r="B418" s="43"/>
      <c r="C418" s="44" t="s">
        <v>6</v>
      </c>
      <c r="D418" s="45" t="s">
        <v>650</v>
      </c>
      <c r="E418" s="45">
        <f>COUNTIF(Questions!D:D,D418)</f>
        <v>2</v>
      </c>
      <c r="F418" s="44"/>
    </row>
    <row r="419" spans="1:6" ht="21.95" customHeight="1" x14ac:dyDescent="0.25">
      <c r="A419" s="43" t="s">
        <v>651</v>
      </c>
      <c r="B419" s="43"/>
      <c r="C419" s="44" t="s">
        <v>6</v>
      </c>
      <c r="D419" s="45" t="s">
        <v>650</v>
      </c>
      <c r="E419" s="45">
        <f>COUNTIF(Questions!D:D,D419)</f>
        <v>2</v>
      </c>
      <c r="F419" s="44"/>
    </row>
    <row r="420" spans="1:6" ht="21.95" customHeight="1" x14ac:dyDescent="0.25">
      <c r="A420" s="6" t="s">
        <v>652</v>
      </c>
      <c r="B420" s="6"/>
      <c r="C420" s="7" t="s">
        <v>14</v>
      </c>
      <c r="D420" s="8" t="s">
        <v>653</v>
      </c>
      <c r="E420" s="8">
        <f>COUNTIF(Questions!D:D,D420)</f>
        <v>2</v>
      </c>
      <c r="F420" s="7"/>
    </row>
    <row r="421" spans="1:6" ht="21.95" customHeight="1" x14ac:dyDescent="0.25">
      <c r="A421" s="6" t="s">
        <v>654</v>
      </c>
      <c r="B421" s="6"/>
      <c r="C421" s="7" t="s">
        <v>14</v>
      </c>
      <c r="D421" s="8" t="s">
        <v>653</v>
      </c>
      <c r="E421" s="8">
        <f>COUNTIF(Questions!D:D,D421)</f>
        <v>2</v>
      </c>
      <c r="F421" s="7"/>
    </row>
    <row r="422" spans="1:6" ht="21.95" customHeight="1" x14ac:dyDescent="0.25">
      <c r="A422" s="37" t="s">
        <v>655</v>
      </c>
      <c r="B422" s="37"/>
      <c r="C422" s="38" t="s">
        <v>31</v>
      </c>
      <c r="D422" s="39" t="s">
        <v>656</v>
      </c>
      <c r="E422" s="39">
        <f>COUNTIF(Questions!D:D,D422)</f>
        <v>2</v>
      </c>
      <c r="F422" s="38"/>
    </row>
    <row r="423" spans="1:6" ht="21.95" customHeight="1" x14ac:dyDescent="0.25">
      <c r="A423" s="37" t="s">
        <v>657</v>
      </c>
      <c r="B423" s="37"/>
      <c r="C423" s="38" t="s">
        <v>31</v>
      </c>
      <c r="D423" s="39" t="s">
        <v>656</v>
      </c>
      <c r="E423" s="39">
        <f>COUNTIF(Questions!D:D,D423)</f>
        <v>2</v>
      </c>
      <c r="F423" s="38"/>
    </row>
    <row r="424" spans="1:6" ht="21.95" customHeight="1" x14ac:dyDescent="0.25">
      <c r="A424" s="22" t="s">
        <v>658</v>
      </c>
      <c r="B424" s="22"/>
      <c r="C424" s="23" t="s">
        <v>10</v>
      </c>
      <c r="D424" s="24" t="s">
        <v>659</v>
      </c>
      <c r="E424" s="24">
        <f>COUNTIF(Questions!D:D,D424)</f>
        <v>2</v>
      </c>
      <c r="F424" s="23"/>
    </row>
    <row r="425" spans="1:6" ht="21.95" customHeight="1" x14ac:dyDescent="0.25">
      <c r="A425" s="22" t="s">
        <v>660</v>
      </c>
      <c r="B425" s="22"/>
      <c r="C425" s="23" t="s">
        <v>10</v>
      </c>
      <c r="D425" s="24" t="s">
        <v>659</v>
      </c>
      <c r="E425" s="24">
        <f>COUNTIF(Questions!D:D,D425)</f>
        <v>2</v>
      </c>
      <c r="F425" s="23"/>
    </row>
    <row r="426" spans="1:6" ht="21.95" customHeight="1" x14ac:dyDescent="0.25">
      <c r="A426" s="31" t="s">
        <v>661</v>
      </c>
      <c r="B426" s="31"/>
      <c r="C426" s="32" t="s">
        <v>94</v>
      </c>
      <c r="D426" s="33" t="s">
        <v>662</v>
      </c>
      <c r="E426" s="33">
        <f>COUNTIF(Questions!D:D,D426)</f>
        <v>2</v>
      </c>
      <c r="F426" s="32"/>
    </row>
    <row r="427" spans="1:6" ht="21.95" customHeight="1" x14ac:dyDescent="0.25">
      <c r="A427" s="31" t="s">
        <v>663</v>
      </c>
      <c r="B427" s="31"/>
      <c r="C427" s="32" t="s">
        <v>94</v>
      </c>
      <c r="D427" s="33" t="s">
        <v>662</v>
      </c>
      <c r="E427" s="33">
        <f>COUNTIF(Questions!D:D,D427)</f>
        <v>2</v>
      </c>
      <c r="F427" s="32"/>
    </row>
    <row r="428" spans="1:6" ht="21.95" customHeight="1" x14ac:dyDescent="0.25">
      <c r="A428" s="37" t="s">
        <v>664</v>
      </c>
      <c r="B428" s="37"/>
      <c r="C428" s="38" t="s">
        <v>31</v>
      </c>
      <c r="D428" s="39" t="s">
        <v>665</v>
      </c>
      <c r="E428" s="39">
        <f>COUNTIF(Questions!D:D,D428)</f>
        <v>2</v>
      </c>
      <c r="F428" s="38"/>
    </row>
    <row r="429" spans="1:6" ht="21.95" customHeight="1" x14ac:dyDescent="0.25">
      <c r="A429" s="37" t="s">
        <v>666</v>
      </c>
      <c r="B429" s="37"/>
      <c r="C429" s="38" t="s">
        <v>31</v>
      </c>
      <c r="D429" s="39" t="s">
        <v>665</v>
      </c>
      <c r="E429" s="39">
        <f>COUNTIF(Questions!D:D,D429)</f>
        <v>2</v>
      </c>
      <c r="F429" s="38"/>
    </row>
    <row r="430" spans="1:6" ht="21.95" customHeight="1" x14ac:dyDescent="0.25">
      <c r="A430" s="16" t="s">
        <v>667</v>
      </c>
      <c r="B430" s="16"/>
      <c r="C430" s="17" t="s">
        <v>101</v>
      </c>
      <c r="D430" s="18" t="s">
        <v>668</v>
      </c>
      <c r="E430" s="18">
        <f>COUNTIF(Questions!D:D,D430)</f>
        <v>2</v>
      </c>
      <c r="F430" s="17"/>
    </row>
    <row r="431" spans="1:6" ht="21.95" customHeight="1" x14ac:dyDescent="0.25">
      <c r="A431" s="16" t="s">
        <v>669</v>
      </c>
      <c r="B431" s="16"/>
      <c r="C431" s="17" t="s">
        <v>101</v>
      </c>
      <c r="D431" s="18" t="s">
        <v>668</v>
      </c>
      <c r="E431" s="18">
        <f>COUNTIF(Questions!D:D,D431)</f>
        <v>2</v>
      </c>
      <c r="F431" s="17"/>
    </row>
    <row r="432" spans="1:6" ht="21.95" customHeight="1" x14ac:dyDescent="0.25">
      <c r="A432" s="19" t="s">
        <v>670</v>
      </c>
      <c r="B432" s="19"/>
      <c r="C432" s="20" t="s">
        <v>94</v>
      </c>
      <c r="D432" s="21" t="s">
        <v>671</v>
      </c>
      <c r="E432" s="21">
        <f>COUNTIF(Questions!D:D,D432)</f>
        <v>2</v>
      </c>
      <c r="F432" s="20"/>
    </row>
    <row r="433" spans="1:6" ht="21.95" customHeight="1" x14ac:dyDescent="0.25">
      <c r="A433" s="25" t="s">
        <v>672</v>
      </c>
      <c r="B433" s="25"/>
      <c r="C433" s="26" t="s">
        <v>115</v>
      </c>
      <c r="D433" s="27" t="s">
        <v>673</v>
      </c>
      <c r="E433" s="27">
        <f>COUNTIF(Questions!D:D,D433)</f>
        <v>2</v>
      </c>
      <c r="F433" s="26"/>
    </row>
    <row r="434" spans="1:6" ht="21.95" customHeight="1" x14ac:dyDescent="0.25">
      <c r="A434" s="37" t="s">
        <v>674</v>
      </c>
      <c r="B434" s="37"/>
      <c r="C434" s="38" t="s">
        <v>31</v>
      </c>
      <c r="D434" s="39" t="s">
        <v>675</v>
      </c>
      <c r="E434" s="39">
        <f>COUNTIF(Questions!D:D,D434)</f>
        <v>2</v>
      </c>
      <c r="F434" s="38"/>
    </row>
    <row r="435" spans="1:6" ht="21.95" customHeight="1" x14ac:dyDescent="0.25">
      <c r="A435" s="37" t="s">
        <v>676</v>
      </c>
      <c r="B435" s="37"/>
      <c r="C435" s="38" t="s">
        <v>31</v>
      </c>
      <c r="D435" s="39" t="s">
        <v>675</v>
      </c>
      <c r="E435" s="39">
        <f>COUNTIF(Questions!D:D,D435)</f>
        <v>2</v>
      </c>
      <c r="F435" s="38"/>
    </row>
    <row r="436" spans="1:6" ht="21.95" customHeight="1" x14ac:dyDescent="0.25">
      <c r="A436" s="43" t="s">
        <v>677</v>
      </c>
      <c r="B436" s="43"/>
      <c r="C436" s="44" t="s">
        <v>6</v>
      </c>
      <c r="D436" s="45" t="s">
        <v>678</v>
      </c>
      <c r="E436" s="45">
        <f>COUNTIF(Questions!D:D,D436)</f>
        <v>2</v>
      </c>
      <c r="F436" s="44"/>
    </row>
    <row r="437" spans="1:6" ht="21.95" customHeight="1" x14ac:dyDescent="0.25">
      <c r="A437" s="43" t="s">
        <v>679</v>
      </c>
      <c r="B437" s="43"/>
      <c r="C437" s="44" t="s">
        <v>6</v>
      </c>
      <c r="D437" s="45" t="s">
        <v>678</v>
      </c>
      <c r="E437" s="45">
        <v>2</v>
      </c>
      <c r="F437" s="44"/>
    </row>
    <row r="438" spans="1:6" ht="21.95" customHeight="1" x14ac:dyDescent="0.25">
      <c r="A438" s="43" t="s">
        <v>680</v>
      </c>
      <c r="B438" s="43"/>
      <c r="C438" s="44" t="s">
        <v>6</v>
      </c>
      <c r="D438" s="45" t="s">
        <v>681</v>
      </c>
      <c r="E438" s="45">
        <f>COUNTIF(Questions!D:D,D438)</f>
        <v>2</v>
      </c>
      <c r="F438" s="44"/>
    </row>
    <row r="439" spans="1:6" ht="21.95" customHeight="1" x14ac:dyDescent="0.25">
      <c r="A439" s="43" t="s">
        <v>682</v>
      </c>
      <c r="B439" s="43"/>
      <c r="C439" s="44" t="s">
        <v>6</v>
      </c>
      <c r="D439" s="45" t="s">
        <v>681</v>
      </c>
      <c r="E439" s="45">
        <f>COUNTIF(Questions!D:D,D439)</f>
        <v>2</v>
      </c>
      <c r="F439" s="44"/>
    </row>
    <row r="440" spans="1:6" ht="21.95" customHeight="1" x14ac:dyDescent="0.25">
      <c r="A440" s="6" t="s">
        <v>683</v>
      </c>
      <c r="B440" s="6"/>
      <c r="C440" s="7" t="s">
        <v>27</v>
      </c>
      <c r="D440" s="8" t="s">
        <v>684</v>
      </c>
      <c r="E440" s="8">
        <f>COUNTIF(Questions!D:D,D440)</f>
        <v>2</v>
      </c>
      <c r="F440" s="7"/>
    </row>
    <row r="441" spans="1:6" ht="21.95" customHeight="1" x14ac:dyDescent="0.25">
      <c r="A441" s="6" t="s">
        <v>685</v>
      </c>
      <c r="B441" s="6"/>
      <c r="C441" s="7" t="s">
        <v>27</v>
      </c>
      <c r="D441" s="8" t="s">
        <v>684</v>
      </c>
      <c r="E441" s="8">
        <f>COUNTIF(Questions!D:D,D441)</f>
        <v>2</v>
      </c>
      <c r="F441" s="7"/>
    </row>
    <row r="442" spans="1:6" ht="21.95" customHeight="1" x14ac:dyDescent="0.25">
      <c r="A442" s="25" t="s">
        <v>686</v>
      </c>
      <c r="B442" s="25"/>
      <c r="C442" s="26" t="s">
        <v>27</v>
      </c>
      <c r="D442" s="27" t="s">
        <v>687</v>
      </c>
      <c r="E442" s="27">
        <f>COUNTIF(Questions!D:D,D442)</f>
        <v>2</v>
      </c>
      <c r="F442" s="26"/>
    </row>
    <row r="443" spans="1:6" ht="21.95" customHeight="1" x14ac:dyDescent="0.25">
      <c r="A443" s="25" t="s">
        <v>688</v>
      </c>
      <c r="B443" s="25"/>
      <c r="C443" s="26" t="s">
        <v>27</v>
      </c>
      <c r="D443" s="27" t="s">
        <v>687</v>
      </c>
      <c r="E443" s="27">
        <f>COUNTIF(Questions!D:D,D443)</f>
        <v>2</v>
      </c>
      <c r="F443" s="26"/>
    </row>
    <row r="444" spans="1:6" ht="21.95" customHeight="1" x14ac:dyDescent="0.25">
      <c r="A444" s="25" t="s">
        <v>689</v>
      </c>
      <c r="B444" s="25"/>
      <c r="C444" s="26" t="s">
        <v>115</v>
      </c>
      <c r="D444" s="27" t="s">
        <v>673</v>
      </c>
      <c r="E444" s="27">
        <f>COUNTIF(Questions!D:D,D444)</f>
        <v>2</v>
      </c>
      <c r="F444" s="26"/>
    </row>
    <row r="445" spans="1:6" ht="21.95" customHeight="1" x14ac:dyDescent="0.25">
      <c r="A445" s="25" t="s">
        <v>690</v>
      </c>
      <c r="B445" s="25"/>
      <c r="C445" s="26" t="s">
        <v>115</v>
      </c>
      <c r="D445" s="27" t="s">
        <v>691</v>
      </c>
      <c r="E445" s="27">
        <f>COUNTIF(Questions!D:D,D445)</f>
        <v>2</v>
      </c>
      <c r="F445" s="26"/>
    </row>
    <row r="446" spans="1:6" ht="21.95" customHeight="1" x14ac:dyDescent="0.25">
      <c r="A446" s="6" t="s">
        <v>692</v>
      </c>
      <c r="B446" s="6"/>
      <c r="C446" s="7" t="s">
        <v>27</v>
      </c>
      <c r="D446" s="8" t="s">
        <v>693</v>
      </c>
      <c r="E446" s="8">
        <f>COUNTIF(Questions!D:D,D446)</f>
        <v>2</v>
      </c>
      <c r="F446" s="7"/>
    </row>
    <row r="447" spans="1:6" ht="21.95" customHeight="1" x14ac:dyDescent="0.25">
      <c r="A447" s="6" t="s">
        <v>694</v>
      </c>
      <c r="B447" s="6"/>
      <c r="C447" s="7" t="s">
        <v>27</v>
      </c>
      <c r="D447" s="8" t="s">
        <v>695</v>
      </c>
      <c r="E447" s="8">
        <f>COUNTIF(Questions!D:D,D447)</f>
        <v>2</v>
      </c>
      <c r="F447" s="7"/>
    </row>
    <row r="448" spans="1:6" ht="21.95" customHeight="1" x14ac:dyDescent="0.25">
      <c r="A448" s="6" t="s">
        <v>696</v>
      </c>
      <c r="B448" s="6"/>
      <c r="C448" s="7" t="s">
        <v>27</v>
      </c>
      <c r="D448" s="8" t="s">
        <v>695</v>
      </c>
      <c r="E448" s="8">
        <f>COUNTIF(Questions!D:D,D448)</f>
        <v>2</v>
      </c>
      <c r="F448" s="7"/>
    </row>
    <row r="449" spans="1:6" ht="21.95" customHeight="1" x14ac:dyDescent="0.25">
      <c r="A449" s="6" t="s">
        <v>697</v>
      </c>
      <c r="B449" s="6"/>
      <c r="C449" s="7" t="s">
        <v>27</v>
      </c>
      <c r="D449" s="8" t="s">
        <v>693</v>
      </c>
      <c r="E449" s="8">
        <f>COUNTIF(Questions!D:D,D449)</f>
        <v>2</v>
      </c>
      <c r="F449" s="7"/>
    </row>
    <row r="450" spans="1:6" ht="21.95" customHeight="1" x14ac:dyDescent="0.25">
      <c r="A450" s="13" t="s">
        <v>698</v>
      </c>
      <c r="B450" s="13"/>
      <c r="C450" s="14" t="s">
        <v>43</v>
      </c>
      <c r="D450" s="15" t="s">
        <v>699</v>
      </c>
      <c r="E450" s="15">
        <f>COUNTIF(Questions!D:D,D450)</f>
        <v>2</v>
      </c>
      <c r="F450" s="14"/>
    </row>
    <row r="451" spans="1:6" ht="21.95" customHeight="1" x14ac:dyDescent="0.25">
      <c r="A451" s="13" t="s">
        <v>700</v>
      </c>
      <c r="B451" s="13"/>
      <c r="C451" s="14" t="s">
        <v>43</v>
      </c>
      <c r="D451" s="15" t="s">
        <v>699</v>
      </c>
      <c r="E451" s="15">
        <f>COUNTIF(Questions!D:D,D451)</f>
        <v>2</v>
      </c>
      <c r="F451" s="14"/>
    </row>
    <row r="452" spans="1:6" ht="21.95" customHeight="1" x14ac:dyDescent="0.25">
      <c r="A452" s="40" t="s">
        <v>701</v>
      </c>
      <c r="B452" s="40"/>
      <c r="C452" s="41" t="s">
        <v>78</v>
      </c>
      <c r="D452" s="42" t="s">
        <v>702</v>
      </c>
      <c r="E452" s="42">
        <f>COUNTIF(Questions!D:D,D452)</f>
        <v>2</v>
      </c>
      <c r="F452" s="41"/>
    </row>
    <row r="453" spans="1:6" ht="21.95" customHeight="1" x14ac:dyDescent="0.25">
      <c r="A453" s="40" t="s">
        <v>703</v>
      </c>
      <c r="B453" s="40"/>
      <c r="C453" s="41" t="s">
        <v>78</v>
      </c>
      <c r="D453" s="42" t="s">
        <v>702</v>
      </c>
      <c r="E453" s="42">
        <f>COUNTIF(Questions!D:D,D453)</f>
        <v>2</v>
      </c>
      <c r="F453" s="41"/>
    </row>
    <row r="454" spans="1:6" ht="21.95" customHeight="1" x14ac:dyDescent="0.25">
      <c r="A454" s="16" t="s">
        <v>704</v>
      </c>
      <c r="B454" s="16"/>
      <c r="C454" s="17" t="s">
        <v>101</v>
      </c>
      <c r="D454" s="18" t="s">
        <v>705</v>
      </c>
      <c r="E454" s="18">
        <f>COUNTIF(Questions!D:D,D454)</f>
        <v>2</v>
      </c>
      <c r="F454" s="17"/>
    </row>
    <row r="455" spans="1:6" ht="21.95" customHeight="1" x14ac:dyDescent="0.25">
      <c r="A455" s="16" t="s">
        <v>706</v>
      </c>
      <c r="B455" s="16"/>
      <c r="C455" s="17" t="s">
        <v>101</v>
      </c>
      <c r="D455" s="18" t="s">
        <v>705</v>
      </c>
      <c r="E455" s="18">
        <f>COUNTIF(Questions!D:D,D455)</f>
        <v>2</v>
      </c>
      <c r="F455" s="17"/>
    </row>
    <row r="456" spans="1:6" ht="21.95" customHeight="1" x14ac:dyDescent="0.25">
      <c r="A456" s="22" t="s">
        <v>707</v>
      </c>
      <c r="B456" s="22"/>
      <c r="C456" s="23" t="s">
        <v>10</v>
      </c>
      <c r="D456" s="24" t="s">
        <v>708</v>
      </c>
      <c r="E456" s="24">
        <f>COUNTIF(Questions!D:D,D456)</f>
        <v>2</v>
      </c>
      <c r="F456" s="23"/>
    </row>
    <row r="457" spans="1:6" ht="21.95" customHeight="1" x14ac:dyDescent="0.25">
      <c r="A457" s="22" t="s">
        <v>709</v>
      </c>
      <c r="B457" s="22"/>
      <c r="C457" s="23" t="s">
        <v>10</v>
      </c>
      <c r="D457" s="24" t="s">
        <v>708</v>
      </c>
      <c r="E457" s="24">
        <f>COUNTIF(Questions!D:D,D457)</f>
        <v>2</v>
      </c>
      <c r="F457" s="23"/>
    </row>
    <row r="458" spans="1:6" ht="21.95" customHeight="1" x14ac:dyDescent="0.25">
      <c r="A458" s="25" t="s">
        <v>710</v>
      </c>
      <c r="B458" s="25"/>
      <c r="C458" s="26" t="s">
        <v>115</v>
      </c>
      <c r="D458" s="27" t="s">
        <v>691</v>
      </c>
      <c r="E458" s="27">
        <f>COUNTIF(Questions!D:D,D458)</f>
        <v>2</v>
      </c>
      <c r="F458" s="26"/>
    </row>
    <row r="459" spans="1:6" ht="21.95" customHeight="1" x14ac:dyDescent="0.25">
      <c r="A459" s="25" t="s">
        <v>711</v>
      </c>
      <c r="B459" s="25"/>
      <c r="C459" s="26" t="s">
        <v>115</v>
      </c>
      <c r="D459" s="27" t="s">
        <v>712</v>
      </c>
      <c r="E459" s="27">
        <f>COUNTIF(Questions!D:D,D459)</f>
        <v>2</v>
      </c>
      <c r="F459" s="26"/>
    </row>
    <row r="460" spans="1:6" ht="21.95" customHeight="1" x14ac:dyDescent="0.25">
      <c r="A460" s="16" t="s">
        <v>713</v>
      </c>
      <c r="B460" s="16"/>
      <c r="C460" s="17" t="s">
        <v>101</v>
      </c>
      <c r="D460" s="18" t="s">
        <v>714</v>
      </c>
      <c r="E460" s="18">
        <f>COUNTIF(Questions!D:D,D460)</f>
        <v>2</v>
      </c>
      <c r="F460" s="17"/>
    </row>
    <row r="461" spans="1:6" ht="21.95" customHeight="1" x14ac:dyDescent="0.25">
      <c r="A461" s="16" t="s">
        <v>715</v>
      </c>
      <c r="B461" s="16"/>
      <c r="C461" s="17" t="s">
        <v>101</v>
      </c>
      <c r="D461" s="18" t="s">
        <v>714</v>
      </c>
      <c r="E461" s="18">
        <f>COUNTIF(Questions!D:D,D461)</f>
        <v>2</v>
      </c>
      <c r="F461" s="17"/>
    </row>
    <row r="462" spans="1:6" ht="21.95" customHeight="1" x14ac:dyDescent="0.25">
      <c r="A462" s="25" t="s">
        <v>716</v>
      </c>
      <c r="B462" s="25"/>
      <c r="C462" s="26" t="s">
        <v>115</v>
      </c>
      <c r="D462" s="27" t="s">
        <v>712</v>
      </c>
      <c r="E462" s="27">
        <f>COUNTIF(Questions!D:D,D462)</f>
        <v>2</v>
      </c>
      <c r="F462" s="26"/>
    </row>
    <row r="463" spans="1:6" ht="21.95" customHeight="1" x14ac:dyDescent="0.25">
      <c r="A463" s="19" t="s">
        <v>717</v>
      </c>
      <c r="B463" s="19"/>
      <c r="C463" s="20" t="s">
        <v>94</v>
      </c>
      <c r="D463" s="21" t="s">
        <v>671</v>
      </c>
      <c r="E463" s="21">
        <f>COUNTIF(Questions!D:D,D463)</f>
        <v>2</v>
      </c>
      <c r="F463" s="20" t="s">
        <v>718</v>
      </c>
    </row>
    <row r="464" spans="1:6" ht="21.95" customHeight="1" x14ac:dyDescent="0.25">
      <c r="A464" s="43" t="s">
        <v>719</v>
      </c>
      <c r="B464" s="43"/>
      <c r="C464" s="44" t="s">
        <v>6</v>
      </c>
      <c r="D464" s="45" t="s">
        <v>720</v>
      </c>
      <c r="E464" s="45">
        <f>COUNTIF(Questions!D:D,D464)</f>
        <v>2</v>
      </c>
      <c r="F464" s="44"/>
    </row>
    <row r="465" spans="1:6" ht="21.95" customHeight="1" x14ac:dyDescent="0.25">
      <c r="A465" s="43" t="s">
        <v>721</v>
      </c>
      <c r="B465" s="43"/>
      <c r="C465" s="44" t="s">
        <v>6</v>
      </c>
      <c r="D465" s="45" t="s">
        <v>720</v>
      </c>
      <c r="E465" s="45">
        <f>COUNTIF(Questions!D:D,D465)</f>
        <v>2</v>
      </c>
      <c r="F465" s="44"/>
    </row>
    <row r="466" spans="1:6" ht="21.95" customHeight="1" x14ac:dyDescent="0.25">
      <c r="A466" s="13" t="s">
        <v>722</v>
      </c>
      <c r="B466" s="13"/>
      <c r="C466" s="14" t="s">
        <v>43</v>
      </c>
      <c r="D466" s="15" t="s">
        <v>723</v>
      </c>
      <c r="E466" s="15">
        <f>COUNTIF(Questions!D:D,D466)</f>
        <v>2</v>
      </c>
      <c r="F466" s="14"/>
    </row>
    <row r="467" spans="1:6" ht="21.95" customHeight="1" x14ac:dyDescent="0.25">
      <c r="A467" s="13" t="s">
        <v>724</v>
      </c>
      <c r="B467" s="13"/>
      <c r="C467" s="14" t="s">
        <v>43</v>
      </c>
      <c r="D467" s="15" t="s">
        <v>723</v>
      </c>
      <c r="E467" s="15">
        <f>COUNTIF(Questions!D:D,D467)</f>
        <v>2</v>
      </c>
      <c r="F467" s="14"/>
    </row>
    <row r="468" spans="1:6" ht="21.95" customHeight="1" x14ac:dyDescent="0.25">
      <c r="A468" s="25" t="s">
        <v>725</v>
      </c>
      <c r="B468" s="25"/>
      <c r="C468" s="26" t="s">
        <v>115</v>
      </c>
      <c r="D468" s="27" t="s">
        <v>726</v>
      </c>
      <c r="E468" s="27">
        <f>COUNTIF(Questions!D:D,D468)</f>
        <v>2</v>
      </c>
      <c r="F468" s="26"/>
    </row>
    <row r="469" spans="1:6" ht="21.95" customHeight="1" x14ac:dyDescent="0.25">
      <c r="A469" s="25" t="s">
        <v>727</v>
      </c>
      <c r="B469" s="25"/>
      <c r="C469" s="26" t="s">
        <v>115</v>
      </c>
      <c r="D469" s="27" t="s">
        <v>726</v>
      </c>
      <c r="E469" s="27">
        <f>COUNTIF(Questions!D:D,D469)</f>
        <v>2</v>
      </c>
      <c r="F469" s="26"/>
    </row>
    <row r="470" spans="1:6" ht="21.95" customHeight="1" x14ac:dyDescent="0.25">
      <c r="A470" s="25" t="s">
        <v>728</v>
      </c>
      <c r="B470" s="25"/>
      <c r="C470" s="26" t="s">
        <v>115</v>
      </c>
      <c r="D470" s="27" t="s">
        <v>729</v>
      </c>
      <c r="E470" s="27">
        <f>COUNTIF(Questions!D:D,D470)</f>
        <v>2</v>
      </c>
      <c r="F470" s="26"/>
    </row>
    <row r="471" spans="1:6" ht="21.95" customHeight="1" x14ac:dyDescent="0.25">
      <c r="A471" s="25" t="s">
        <v>730</v>
      </c>
      <c r="B471" s="25"/>
      <c r="C471" s="26" t="s">
        <v>115</v>
      </c>
      <c r="D471" s="27" t="s">
        <v>729</v>
      </c>
      <c r="E471" s="27">
        <f>COUNTIF(Questions!D:D,D471)</f>
        <v>2</v>
      </c>
      <c r="F471" s="26"/>
    </row>
    <row r="472" spans="1:6" ht="21.95" customHeight="1" x14ac:dyDescent="0.25">
      <c r="A472" s="25" t="s">
        <v>731</v>
      </c>
      <c r="B472" s="25"/>
      <c r="C472" s="26" t="s">
        <v>115</v>
      </c>
      <c r="D472" s="27" t="s">
        <v>732</v>
      </c>
      <c r="E472" s="27">
        <f>COUNTIF(Questions!D:D,D472)</f>
        <v>2</v>
      </c>
      <c r="F472" s="26"/>
    </row>
    <row r="473" spans="1:6" ht="21.95" customHeight="1" x14ac:dyDescent="0.25">
      <c r="A473" s="25" t="s">
        <v>733</v>
      </c>
      <c r="B473" s="25"/>
      <c r="C473" s="26" t="s">
        <v>115</v>
      </c>
      <c r="D473" s="27" t="s">
        <v>732</v>
      </c>
      <c r="E473" s="27">
        <f>COUNTIF(Questions!D:D,D473)</f>
        <v>2</v>
      </c>
      <c r="F473" s="26"/>
    </row>
    <row r="474" spans="1:6" ht="21.95" customHeight="1" x14ac:dyDescent="0.25">
      <c r="A474" s="25" t="s">
        <v>734</v>
      </c>
      <c r="B474" s="25"/>
      <c r="C474" s="26" t="s">
        <v>115</v>
      </c>
      <c r="D474" s="27" t="s">
        <v>735</v>
      </c>
      <c r="E474" s="27">
        <f>COUNTIF(Questions!D:D,D474)</f>
        <v>2</v>
      </c>
      <c r="F474" s="26"/>
    </row>
    <row r="475" spans="1:6" ht="21.95" customHeight="1" x14ac:dyDescent="0.25">
      <c r="A475" s="25" t="s">
        <v>736</v>
      </c>
      <c r="B475" s="25"/>
      <c r="C475" s="26" t="s">
        <v>115</v>
      </c>
      <c r="D475" s="27" t="s">
        <v>735</v>
      </c>
      <c r="E475" s="27">
        <f>COUNTIF(Questions!D:D,D475)</f>
        <v>2</v>
      </c>
      <c r="F475" s="26"/>
    </row>
    <row r="476" spans="1:6" ht="21.95" customHeight="1" x14ac:dyDescent="0.25">
      <c r="A476" s="37" t="s">
        <v>737</v>
      </c>
      <c r="B476" s="37"/>
      <c r="C476" s="38" t="s">
        <v>31</v>
      </c>
      <c r="D476" s="39" t="s">
        <v>738</v>
      </c>
      <c r="E476" s="39">
        <f>COUNTIF(Questions!D:D,D476)</f>
        <v>2</v>
      </c>
      <c r="F476" s="38">
        <v>23</v>
      </c>
    </row>
    <row r="477" spans="1:6" ht="21.95" customHeight="1" x14ac:dyDescent="0.25">
      <c r="A477" s="37" t="s">
        <v>739</v>
      </c>
      <c r="B477" s="37"/>
      <c r="C477" s="38" t="s">
        <v>31</v>
      </c>
      <c r="D477" s="39" t="s">
        <v>738</v>
      </c>
      <c r="E477" s="39">
        <f>COUNTIF(Questions!D:D,D477)</f>
        <v>2</v>
      </c>
      <c r="F477" s="38"/>
    </row>
    <row r="478" spans="1:6" ht="21.95" customHeight="1" x14ac:dyDescent="0.25">
      <c r="A478" s="37" t="s">
        <v>740</v>
      </c>
      <c r="B478" s="37"/>
      <c r="C478" s="38" t="s">
        <v>31</v>
      </c>
      <c r="D478" s="39" t="s">
        <v>741</v>
      </c>
      <c r="E478" s="39">
        <f>COUNTIF(Questions!D:D,D478)</f>
        <v>2</v>
      </c>
      <c r="F478" s="38"/>
    </row>
    <row r="479" spans="1:6" ht="21.95" customHeight="1" x14ac:dyDescent="0.25">
      <c r="A479" s="37" t="s">
        <v>742</v>
      </c>
      <c r="B479" s="37"/>
      <c r="C479" s="38" t="s">
        <v>31</v>
      </c>
      <c r="D479" s="39" t="s">
        <v>741</v>
      </c>
      <c r="E479" s="39">
        <f>COUNTIF(Questions!D:D,D479)</f>
        <v>2</v>
      </c>
      <c r="F479" s="38"/>
    </row>
    <row r="480" spans="1:6" ht="21.95" customHeight="1" x14ac:dyDescent="0.25">
      <c r="A480" s="13" t="s">
        <v>743</v>
      </c>
      <c r="B480" s="13"/>
      <c r="C480" s="14" t="s">
        <v>43</v>
      </c>
      <c r="D480" s="15" t="s">
        <v>744</v>
      </c>
      <c r="E480" s="15">
        <f>COUNTIF(Questions!D:D,D480)</f>
        <v>2</v>
      </c>
      <c r="F480" s="14"/>
    </row>
    <row r="481" spans="1:6" ht="21.95" customHeight="1" x14ac:dyDescent="0.25">
      <c r="A481" s="13" t="s">
        <v>745</v>
      </c>
      <c r="B481" s="13"/>
      <c r="C481" s="14" t="s">
        <v>43</v>
      </c>
      <c r="D481" s="15" t="s">
        <v>744</v>
      </c>
      <c r="E481" s="15">
        <f>COUNTIF(Questions!D:D,D481)</f>
        <v>2</v>
      </c>
      <c r="F481" s="14"/>
    </row>
    <row r="482" spans="1:6" ht="21.95" customHeight="1" x14ac:dyDescent="0.25">
      <c r="A482" s="43" t="s">
        <v>746</v>
      </c>
      <c r="B482" s="43"/>
      <c r="C482" s="44" t="s">
        <v>6</v>
      </c>
      <c r="D482" s="45" t="s">
        <v>747</v>
      </c>
      <c r="E482" s="45">
        <f>COUNTIF(Questions!D:D,D482)</f>
        <v>2</v>
      </c>
      <c r="F482" s="44"/>
    </row>
    <row r="483" spans="1:6" ht="21.95" customHeight="1" x14ac:dyDescent="0.25">
      <c r="A483" s="43" t="s">
        <v>748</v>
      </c>
      <c r="B483" s="43"/>
      <c r="C483" s="44" t="s">
        <v>6</v>
      </c>
      <c r="D483" s="45" t="s">
        <v>747</v>
      </c>
      <c r="E483" s="45">
        <f>COUNTIF(Questions!D:D,D483)</f>
        <v>2</v>
      </c>
      <c r="F483" s="44" t="s">
        <v>253</v>
      </c>
    </row>
    <row r="484" spans="1:6" ht="21.95" customHeight="1" x14ac:dyDescent="0.25">
      <c r="A484" s="6" t="s">
        <v>749</v>
      </c>
      <c r="B484" s="6"/>
      <c r="C484" s="7" t="s">
        <v>27</v>
      </c>
      <c r="D484" s="8" t="s">
        <v>750</v>
      </c>
      <c r="E484" s="8">
        <f>COUNTIF(Questions!D:D,D484)</f>
        <v>2</v>
      </c>
      <c r="F484" s="7"/>
    </row>
    <row r="485" spans="1:6" ht="21.95" customHeight="1" x14ac:dyDescent="0.25">
      <c r="A485" s="6" t="s">
        <v>751</v>
      </c>
      <c r="B485" s="6"/>
      <c r="C485" s="7" t="s">
        <v>27</v>
      </c>
      <c r="D485" s="8" t="s">
        <v>750</v>
      </c>
      <c r="E485" s="8">
        <f>COUNTIF(Questions!D:D,D485)</f>
        <v>2</v>
      </c>
      <c r="F485" s="7"/>
    </row>
    <row r="486" spans="1:6" ht="21.95" customHeight="1" x14ac:dyDescent="0.25">
      <c r="A486" s="22" t="s">
        <v>752</v>
      </c>
      <c r="B486" s="22"/>
      <c r="C486" s="23" t="s">
        <v>10</v>
      </c>
      <c r="D486" s="24" t="s">
        <v>753</v>
      </c>
      <c r="E486" s="24">
        <f>COUNTIF(Questions!D:D,D486)</f>
        <v>2</v>
      </c>
      <c r="F486" s="23"/>
    </row>
    <row r="487" spans="1:6" ht="21.95" customHeight="1" x14ac:dyDescent="0.25">
      <c r="A487" s="22" t="s">
        <v>754</v>
      </c>
      <c r="B487" s="22"/>
      <c r="C487" s="23" t="s">
        <v>10</v>
      </c>
      <c r="D487" s="24" t="s">
        <v>753</v>
      </c>
      <c r="E487" s="24">
        <f>COUNTIF(Questions!D:D,D487)</f>
        <v>2</v>
      </c>
      <c r="F487" s="23"/>
    </row>
    <row r="488" spans="1:6" ht="21.95" customHeight="1" x14ac:dyDescent="0.25">
      <c r="A488" s="52" t="s">
        <v>755</v>
      </c>
      <c r="B488" s="52"/>
      <c r="C488" s="53" t="s">
        <v>50</v>
      </c>
      <c r="D488" s="54" t="s">
        <v>756</v>
      </c>
      <c r="E488" s="54">
        <f>COUNTIF(Questions!D:D,D488)</f>
        <v>2</v>
      </c>
      <c r="F488" s="53"/>
    </row>
    <row r="489" spans="1:6" ht="21.95" customHeight="1" x14ac:dyDescent="0.25">
      <c r="A489" s="52" t="s">
        <v>757</v>
      </c>
      <c r="B489" s="52"/>
      <c r="C489" s="53" t="s">
        <v>50</v>
      </c>
      <c r="D489" s="54" t="s">
        <v>756</v>
      </c>
      <c r="E489" s="54">
        <f>COUNTIF(Questions!D:D,D489)</f>
        <v>2</v>
      </c>
      <c r="F489" s="53" t="s">
        <v>758</v>
      </c>
    </row>
    <row r="490" spans="1:6" ht="21.95" customHeight="1" x14ac:dyDescent="0.25">
      <c r="A490" s="52" t="s">
        <v>759</v>
      </c>
      <c r="B490" s="52"/>
      <c r="C490" s="53" t="s">
        <v>50</v>
      </c>
      <c r="D490" s="54" t="s">
        <v>760</v>
      </c>
      <c r="E490" s="54">
        <f>COUNTIF(Questions!D:D,D490)</f>
        <v>2</v>
      </c>
      <c r="F490" s="53"/>
    </row>
    <row r="491" spans="1:6" ht="21.95" customHeight="1" x14ac:dyDescent="0.25">
      <c r="A491" s="52" t="s">
        <v>761</v>
      </c>
      <c r="B491" s="52"/>
      <c r="C491" s="53" t="s">
        <v>50</v>
      </c>
      <c r="D491" s="54" t="s">
        <v>760</v>
      </c>
      <c r="E491" s="54">
        <f>COUNTIF(Questions!D:D,D491)</f>
        <v>2</v>
      </c>
      <c r="F491" s="53"/>
    </row>
    <row r="492" spans="1:6" ht="21.95" customHeight="1" x14ac:dyDescent="0.25">
      <c r="A492" s="46" t="s">
        <v>762</v>
      </c>
      <c r="B492" s="46"/>
      <c r="C492" s="47" t="s">
        <v>14</v>
      </c>
      <c r="D492" s="48" t="s">
        <v>763</v>
      </c>
      <c r="E492" s="48">
        <f>COUNTIF(Questions!D:D,D492)</f>
        <v>2</v>
      </c>
      <c r="F492" s="47"/>
    </row>
    <row r="493" spans="1:6" ht="21.95" customHeight="1" x14ac:dyDescent="0.25">
      <c r="A493" s="46" t="s">
        <v>764</v>
      </c>
      <c r="B493" s="46"/>
      <c r="C493" s="47" t="s">
        <v>14</v>
      </c>
      <c r="D493" s="48" t="s">
        <v>763</v>
      </c>
      <c r="E493" s="48">
        <f>COUNTIF(Questions!D:D,D493)</f>
        <v>2</v>
      </c>
      <c r="F493" s="47"/>
    </row>
    <row r="494" spans="1:6" ht="21.95" customHeight="1" x14ac:dyDescent="0.25">
      <c r="A494" s="49" t="s">
        <v>765</v>
      </c>
      <c r="B494" s="49"/>
      <c r="C494" s="50" t="s">
        <v>39</v>
      </c>
      <c r="D494" s="51" t="s">
        <v>766</v>
      </c>
      <c r="E494" s="51">
        <f>COUNTIF(Questions!D:D,D494)</f>
        <v>2</v>
      </c>
      <c r="F494" s="50"/>
    </row>
    <row r="495" spans="1:6" ht="21.95" customHeight="1" x14ac:dyDescent="0.25">
      <c r="A495" s="49" t="s">
        <v>767</v>
      </c>
      <c r="B495" s="49"/>
      <c r="C495" s="50" t="s">
        <v>39</v>
      </c>
      <c r="D495" s="51" t="s">
        <v>766</v>
      </c>
      <c r="E495" s="51">
        <f>COUNTIF(Questions!D:D,D495)</f>
        <v>2</v>
      </c>
      <c r="F495" s="50"/>
    </row>
    <row r="496" spans="1:6" ht="21.95" customHeight="1" x14ac:dyDescent="0.25">
      <c r="A496" s="25" t="s">
        <v>768</v>
      </c>
      <c r="B496" s="25"/>
      <c r="C496" s="26" t="s">
        <v>27</v>
      </c>
      <c r="D496" s="27" t="s">
        <v>769</v>
      </c>
      <c r="E496" s="27">
        <f>COUNTIF(Questions!D:D,D496)</f>
        <v>2</v>
      </c>
      <c r="F496" s="26"/>
    </row>
    <row r="497" spans="1:6" ht="21.95" customHeight="1" x14ac:dyDescent="0.25">
      <c r="A497" s="25" t="s">
        <v>770</v>
      </c>
      <c r="B497" s="25"/>
      <c r="C497" s="26" t="s">
        <v>27</v>
      </c>
      <c r="D497" s="27" t="s">
        <v>769</v>
      </c>
      <c r="E497" s="27">
        <f>COUNTIF(Questions!D:D,D497)</f>
        <v>2</v>
      </c>
      <c r="F497" s="26"/>
    </row>
    <row r="498" spans="1:6" ht="21.95" customHeight="1" x14ac:dyDescent="0.25">
      <c r="A498" s="43" t="s">
        <v>771</v>
      </c>
      <c r="B498" s="43"/>
      <c r="C498" s="44" t="s">
        <v>6</v>
      </c>
      <c r="D498" s="45" t="s">
        <v>772</v>
      </c>
      <c r="E498" s="45">
        <f>COUNTIF(Questions!D:D,D498)</f>
        <v>2</v>
      </c>
      <c r="F498" s="44"/>
    </row>
    <row r="499" spans="1:6" ht="21.95" customHeight="1" x14ac:dyDescent="0.25">
      <c r="A499" s="43" t="s">
        <v>773</v>
      </c>
      <c r="B499" s="43"/>
      <c r="C499" s="44" t="s">
        <v>6</v>
      </c>
      <c r="D499" s="45" t="s">
        <v>772</v>
      </c>
      <c r="E499" s="45">
        <f>COUNTIF(Questions!D:D,D499)</f>
        <v>2</v>
      </c>
      <c r="F499" s="44"/>
    </row>
    <row r="500" spans="1:6" ht="21.95" customHeight="1" x14ac:dyDescent="0.25">
      <c r="A500" s="34" t="s">
        <v>774</v>
      </c>
      <c r="B500" s="34"/>
      <c r="C500" s="35" t="s">
        <v>39</v>
      </c>
      <c r="D500" s="51" t="s">
        <v>775</v>
      </c>
      <c r="E500" s="36">
        <f>COUNTIF(Questions!D:D,D500)</f>
        <v>2</v>
      </c>
      <c r="F500" s="35"/>
    </row>
    <row r="501" spans="1:6" ht="21.95" customHeight="1" x14ac:dyDescent="0.25">
      <c r="A501" s="34" t="s">
        <v>776</v>
      </c>
      <c r="B501" s="34"/>
      <c r="C501" s="35" t="s">
        <v>39</v>
      </c>
      <c r="D501" s="51" t="s">
        <v>775</v>
      </c>
      <c r="E501" s="36">
        <f>COUNTIF(Questions!D:D,D501)</f>
        <v>2</v>
      </c>
      <c r="F501" s="35"/>
    </row>
    <row r="502" spans="1:6" ht="21.95" customHeight="1" x14ac:dyDescent="0.25">
      <c r="A502" s="52" t="s">
        <v>777</v>
      </c>
      <c r="B502" s="52"/>
      <c r="C502" s="53" t="s">
        <v>50</v>
      </c>
      <c r="D502" s="54" t="s">
        <v>778</v>
      </c>
      <c r="E502" s="54">
        <f>COUNTIF(Questions!D:D,D502)</f>
        <v>2</v>
      </c>
      <c r="F502" s="53"/>
    </row>
    <row r="503" spans="1:6" ht="21.95" customHeight="1" x14ac:dyDescent="0.25">
      <c r="A503" s="52" t="s">
        <v>779</v>
      </c>
      <c r="B503" s="52"/>
      <c r="C503" s="53" t="s">
        <v>50</v>
      </c>
      <c r="D503" s="54" t="s">
        <v>780</v>
      </c>
      <c r="E503" s="54">
        <f>COUNTIF(Questions!D:D,D503)</f>
        <v>2</v>
      </c>
      <c r="F503" s="53"/>
    </row>
    <row r="504" spans="1:6" ht="21.95" customHeight="1" x14ac:dyDescent="0.25">
      <c r="A504" s="52" t="s">
        <v>781</v>
      </c>
      <c r="B504" s="52"/>
      <c r="C504" s="53" t="s">
        <v>50</v>
      </c>
      <c r="D504" s="54" t="s">
        <v>780</v>
      </c>
      <c r="E504" s="54">
        <f>COUNTIF(Questions!D:D,D504)</f>
        <v>2</v>
      </c>
      <c r="F504" s="53"/>
    </row>
    <row r="505" spans="1:6" ht="21.95" customHeight="1" x14ac:dyDescent="0.25">
      <c r="A505" s="52" t="s">
        <v>782</v>
      </c>
      <c r="B505" s="52"/>
      <c r="C505" s="53" t="s">
        <v>50</v>
      </c>
      <c r="D505" s="54" t="s">
        <v>778</v>
      </c>
      <c r="E505" s="54">
        <f>COUNTIF(Questions!D:D,D505)</f>
        <v>2</v>
      </c>
      <c r="F505" s="53"/>
    </row>
    <row r="506" spans="1:6" ht="21.95" customHeight="1" x14ac:dyDescent="0.25">
      <c r="A506" s="52" t="s">
        <v>783</v>
      </c>
      <c r="B506" s="52"/>
      <c r="C506" s="53" t="s">
        <v>50</v>
      </c>
      <c r="D506" s="54" t="s">
        <v>784</v>
      </c>
      <c r="E506" s="54">
        <f>COUNTIF(Questions!D:D,D506)</f>
        <v>2</v>
      </c>
      <c r="F506" s="53"/>
    </row>
    <row r="507" spans="1:6" ht="21.95" customHeight="1" x14ac:dyDescent="0.25">
      <c r="A507" s="52" t="s">
        <v>785</v>
      </c>
      <c r="B507" s="52"/>
      <c r="C507" s="53" t="s">
        <v>50</v>
      </c>
      <c r="D507" s="54" t="s">
        <v>784</v>
      </c>
      <c r="E507" s="54">
        <f>COUNTIF(Questions!D:D,D507)</f>
        <v>2</v>
      </c>
      <c r="F507" s="53" t="s">
        <v>253</v>
      </c>
    </row>
    <row r="508" spans="1:6" ht="21.95" customHeight="1" x14ac:dyDescent="0.25">
      <c r="A508" s="19" t="s">
        <v>786</v>
      </c>
      <c r="B508" s="19"/>
      <c r="C508" s="20" t="s">
        <v>35</v>
      </c>
      <c r="D508" s="21" t="s">
        <v>787</v>
      </c>
      <c r="E508" s="21">
        <f>COUNTIF(Questions!D:D,D508)</f>
        <v>2</v>
      </c>
      <c r="F508" s="20"/>
    </row>
    <row r="509" spans="1:6" ht="21.95" customHeight="1" x14ac:dyDescent="0.25">
      <c r="A509" s="19" t="s">
        <v>788</v>
      </c>
      <c r="B509" s="19"/>
      <c r="C509" s="20" t="s">
        <v>35</v>
      </c>
      <c r="D509" s="21" t="s">
        <v>787</v>
      </c>
      <c r="E509" s="21">
        <f>COUNTIF(Questions!D:D,D509)</f>
        <v>2</v>
      </c>
      <c r="F509" s="20"/>
    </row>
    <row r="510" spans="1:6" ht="21.95" customHeight="1" x14ac:dyDescent="0.25">
      <c r="A510" s="22" t="s">
        <v>789</v>
      </c>
      <c r="B510" s="22"/>
      <c r="C510" s="23" t="s">
        <v>10</v>
      </c>
      <c r="D510" s="24" t="s">
        <v>790</v>
      </c>
      <c r="E510" s="24">
        <f>COUNTIF(Questions!D:D,D510)</f>
        <v>2</v>
      </c>
      <c r="F510" s="23"/>
    </row>
    <row r="511" spans="1:6" ht="21.95" customHeight="1" x14ac:dyDescent="0.25">
      <c r="A511" s="22" t="s">
        <v>791</v>
      </c>
      <c r="B511" s="22"/>
      <c r="C511" s="23" t="s">
        <v>10</v>
      </c>
      <c r="D511" s="24" t="s">
        <v>790</v>
      </c>
      <c r="E511" s="24">
        <f>COUNTIF(Questions!D:D,D511)</f>
        <v>2</v>
      </c>
      <c r="F511" s="23"/>
    </row>
    <row r="512" spans="1:6" ht="21.95" customHeight="1" x14ac:dyDescent="0.25">
      <c r="A512" s="19" t="s">
        <v>792</v>
      </c>
      <c r="B512" s="19"/>
      <c r="C512" s="20" t="s">
        <v>35</v>
      </c>
      <c r="D512" s="21" t="s">
        <v>793</v>
      </c>
      <c r="E512" s="21">
        <f>COUNTIF(Questions!D:D,D512)</f>
        <v>2</v>
      </c>
      <c r="F512" s="20"/>
    </row>
    <row r="513" spans="1:6" ht="21.95" customHeight="1" x14ac:dyDescent="0.25">
      <c r="A513" s="19" t="s">
        <v>794</v>
      </c>
      <c r="B513" s="19"/>
      <c r="C513" s="20" t="s">
        <v>35</v>
      </c>
      <c r="D513" s="21" t="s">
        <v>795</v>
      </c>
      <c r="E513" s="21">
        <f>COUNTIF(Questions!D:D,D513)</f>
        <v>2</v>
      </c>
      <c r="F513" s="20"/>
    </row>
    <row r="514" spans="1:6" ht="21.95" customHeight="1" x14ac:dyDescent="0.25">
      <c r="A514" s="19" t="s">
        <v>796</v>
      </c>
      <c r="B514" s="19"/>
      <c r="C514" s="20" t="s">
        <v>35</v>
      </c>
      <c r="D514" s="21" t="s">
        <v>795</v>
      </c>
      <c r="E514" s="21">
        <f>COUNTIF(Questions!D:D,D514)</f>
        <v>2</v>
      </c>
      <c r="F514" s="20"/>
    </row>
    <row r="515" spans="1:6" ht="21.95" customHeight="1" x14ac:dyDescent="0.25">
      <c r="A515" s="19" t="s">
        <v>797</v>
      </c>
      <c r="B515" s="19"/>
      <c r="C515" s="20" t="s">
        <v>35</v>
      </c>
      <c r="D515" s="21" t="s">
        <v>793</v>
      </c>
      <c r="E515" s="21">
        <f>COUNTIF(Questions!D:D,D515)</f>
        <v>2</v>
      </c>
      <c r="F515" s="20" t="s">
        <v>718</v>
      </c>
    </row>
    <row r="516" spans="1:6" ht="21.95" customHeight="1" x14ac:dyDescent="0.25">
      <c r="A516" s="28" t="s">
        <v>798</v>
      </c>
      <c r="B516" s="28"/>
      <c r="C516" s="29" t="s">
        <v>94</v>
      </c>
      <c r="D516" s="30" t="s">
        <v>799</v>
      </c>
      <c r="E516" s="30">
        <f>COUNTIF(Questions!D:D,D516)</f>
        <v>2</v>
      </c>
      <c r="F516" s="29"/>
    </row>
    <row r="517" spans="1:6" ht="21.95" customHeight="1" x14ac:dyDescent="0.25">
      <c r="A517" s="28" t="s">
        <v>800</v>
      </c>
      <c r="B517" s="28"/>
      <c r="C517" s="29" t="s">
        <v>94</v>
      </c>
      <c r="D517" s="30" t="s">
        <v>799</v>
      </c>
      <c r="E517" s="30">
        <f>COUNTIF(Questions!D:D,D517)</f>
        <v>2</v>
      </c>
      <c r="F517" s="29"/>
    </row>
    <row r="518" spans="1:6" ht="21.95" customHeight="1" x14ac:dyDescent="0.25">
      <c r="A518" s="52" t="s">
        <v>801</v>
      </c>
      <c r="B518" s="52"/>
      <c r="C518" s="53" t="s">
        <v>50</v>
      </c>
      <c r="D518" s="54" t="s">
        <v>802</v>
      </c>
      <c r="E518" s="54">
        <f>COUNTIF(Questions!D:D,D518)</f>
        <v>2</v>
      </c>
      <c r="F518" s="53"/>
    </row>
    <row r="519" spans="1:6" ht="21.95" customHeight="1" x14ac:dyDescent="0.25">
      <c r="A519" s="52" t="s">
        <v>803</v>
      </c>
      <c r="B519" s="52"/>
      <c r="C519" s="53" t="s">
        <v>50</v>
      </c>
      <c r="D519" s="54" t="s">
        <v>802</v>
      </c>
      <c r="E519" s="54">
        <f>COUNTIF(Questions!D:D,D519)</f>
        <v>2</v>
      </c>
      <c r="F519" s="53"/>
    </row>
    <row r="520" spans="1:6" ht="21.95" customHeight="1" x14ac:dyDescent="0.25">
      <c r="A520" s="16" t="s">
        <v>804</v>
      </c>
      <c r="B520" s="16"/>
      <c r="C520" s="17" t="s">
        <v>101</v>
      </c>
      <c r="D520" s="18" t="s">
        <v>805</v>
      </c>
      <c r="E520" s="18">
        <f>COUNTIF(Questions!D:D,D520)</f>
        <v>2</v>
      </c>
      <c r="F520" s="17"/>
    </row>
    <row r="521" spans="1:6" ht="21.95" customHeight="1" x14ac:dyDescent="0.25">
      <c r="A521" s="16" t="s">
        <v>806</v>
      </c>
      <c r="B521" s="16"/>
      <c r="C521" s="17" t="s">
        <v>101</v>
      </c>
      <c r="D521" s="18" t="s">
        <v>805</v>
      </c>
      <c r="E521" s="18">
        <f>COUNTIF(Questions!D:D,D521)</f>
        <v>2</v>
      </c>
      <c r="F521" s="17"/>
    </row>
    <row r="522" spans="1:6" ht="21.95" customHeight="1" x14ac:dyDescent="0.25">
      <c r="A522" s="22" t="s">
        <v>807</v>
      </c>
      <c r="B522" s="22"/>
      <c r="C522" s="23" t="s">
        <v>43</v>
      </c>
      <c r="D522" s="24" t="s">
        <v>808</v>
      </c>
      <c r="E522" s="24">
        <f>COUNTIF(Questions!D:D,D522)</f>
        <v>2</v>
      </c>
      <c r="F522" s="23"/>
    </row>
    <row r="523" spans="1:6" ht="21.95" customHeight="1" x14ac:dyDescent="0.25">
      <c r="A523" s="22" t="s">
        <v>809</v>
      </c>
      <c r="B523" s="22"/>
      <c r="C523" s="23" t="s">
        <v>43</v>
      </c>
      <c r="D523" s="24" t="s">
        <v>808</v>
      </c>
      <c r="E523" s="24">
        <f>COUNTIF(Questions!D:D,D523)</f>
        <v>2</v>
      </c>
      <c r="F523" s="23"/>
    </row>
    <row r="524" spans="1:6" ht="21.95" customHeight="1" x14ac:dyDescent="0.25">
      <c r="A524" s="25" t="s">
        <v>810</v>
      </c>
      <c r="B524" s="25"/>
      <c r="C524" s="26" t="s">
        <v>115</v>
      </c>
      <c r="D524" s="27" t="s">
        <v>811</v>
      </c>
      <c r="E524" s="27">
        <f>COUNTIF(Questions!D:D,D524)</f>
        <v>2</v>
      </c>
      <c r="F524" s="26"/>
    </row>
    <row r="525" spans="1:6" ht="21.95" customHeight="1" x14ac:dyDescent="0.25">
      <c r="A525" s="25" t="s">
        <v>812</v>
      </c>
      <c r="B525" s="25"/>
      <c r="C525" s="26" t="s">
        <v>115</v>
      </c>
      <c r="D525" s="27" t="s">
        <v>811</v>
      </c>
      <c r="E525" s="27">
        <f>COUNTIF(Questions!D:D,D525)</f>
        <v>2</v>
      </c>
      <c r="F525" s="26"/>
    </row>
    <row r="526" spans="1:6" ht="21.95" customHeight="1" x14ac:dyDescent="0.25">
      <c r="A526" s="25" t="s">
        <v>813</v>
      </c>
      <c r="B526" s="25"/>
      <c r="C526" s="26" t="s">
        <v>39</v>
      </c>
      <c r="D526" s="27" t="s">
        <v>814</v>
      </c>
      <c r="E526" s="27">
        <f>COUNTIF(Questions!D:D,D526)</f>
        <v>2</v>
      </c>
      <c r="F526" s="26"/>
    </row>
    <row r="527" spans="1:6" ht="21.95" customHeight="1" x14ac:dyDescent="0.25">
      <c r="A527" s="25" t="s">
        <v>815</v>
      </c>
      <c r="B527" s="25"/>
      <c r="C527" s="26" t="s">
        <v>39</v>
      </c>
      <c r="D527" s="27" t="s">
        <v>814</v>
      </c>
      <c r="E527" s="27">
        <f>COUNTIF(Questions!D:D,D527)</f>
        <v>2</v>
      </c>
      <c r="F527" s="26"/>
    </row>
    <row r="528" spans="1:6" ht="21.95" customHeight="1" x14ac:dyDescent="0.25">
      <c r="A528" s="46" t="s">
        <v>816</v>
      </c>
      <c r="B528" s="46"/>
      <c r="C528" s="47" t="s">
        <v>14</v>
      </c>
      <c r="D528" s="48" t="s">
        <v>817</v>
      </c>
      <c r="E528" s="48">
        <f>COUNTIF(Questions!D:D,D528)</f>
        <v>2</v>
      </c>
      <c r="F528" s="47"/>
    </row>
    <row r="529" spans="1:6" ht="21.95" customHeight="1" x14ac:dyDescent="0.25">
      <c r="A529" s="46" t="s">
        <v>818</v>
      </c>
      <c r="B529" s="46"/>
      <c r="C529" s="47" t="s">
        <v>14</v>
      </c>
      <c r="D529" s="48" t="s">
        <v>817</v>
      </c>
      <c r="E529" s="48">
        <f>COUNTIF(Questions!D:D,D529)</f>
        <v>2</v>
      </c>
      <c r="F529" s="47"/>
    </row>
    <row r="530" spans="1:6" ht="21.95" customHeight="1" x14ac:dyDescent="0.25">
      <c r="A530" s="46" t="s">
        <v>819</v>
      </c>
      <c r="B530" s="46"/>
      <c r="C530" s="47" t="s">
        <v>10</v>
      </c>
      <c r="D530" s="48" t="s">
        <v>820</v>
      </c>
      <c r="E530" s="48">
        <f>COUNTIF(Questions!D:D,D530)</f>
        <v>2</v>
      </c>
      <c r="F530" s="47"/>
    </row>
    <row r="531" spans="1:6" ht="21.95" customHeight="1" x14ac:dyDescent="0.25">
      <c r="A531" s="46" t="s">
        <v>821</v>
      </c>
      <c r="B531" s="46"/>
      <c r="C531" s="47" t="s">
        <v>10</v>
      </c>
      <c r="D531" s="48" t="s">
        <v>820</v>
      </c>
      <c r="E531" s="48">
        <f>COUNTIF(Questions!D:D,D531)</f>
        <v>2</v>
      </c>
      <c r="F531" s="47">
        <v>23</v>
      </c>
    </row>
    <row r="532" spans="1:6" ht="21.95" customHeight="1" x14ac:dyDescent="0.25">
      <c r="A532" s="49" t="s">
        <v>822</v>
      </c>
      <c r="B532" s="49"/>
      <c r="C532" s="50" t="s">
        <v>39</v>
      </c>
      <c r="D532" s="51" t="s">
        <v>823</v>
      </c>
      <c r="E532" s="51">
        <f>COUNTIF(Questions!D:D,D532)</f>
        <v>2</v>
      </c>
      <c r="F532" s="50"/>
    </row>
    <row r="533" spans="1:6" ht="21.95" customHeight="1" x14ac:dyDescent="0.25">
      <c r="A533" s="49" t="s">
        <v>824</v>
      </c>
      <c r="B533" s="49"/>
      <c r="C533" s="50" t="s">
        <v>39</v>
      </c>
      <c r="D533" s="51" t="s">
        <v>823</v>
      </c>
      <c r="E533" s="51">
        <f>COUNTIF(Questions!D:D,D533)</f>
        <v>2</v>
      </c>
      <c r="F533" s="50"/>
    </row>
    <row r="534" spans="1:6" ht="21.95" customHeight="1" x14ac:dyDescent="0.25">
      <c r="A534" s="25" t="s">
        <v>825</v>
      </c>
      <c r="B534" s="25"/>
      <c r="C534" s="26" t="s">
        <v>115</v>
      </c>
      <c r="D534" s="27" t="s">
        <v>826</v>
      </c>
      <c r="E534" s="27">
        <f>COUNTIF(Questions!D:D,D534)</f>
        <v>2</v>
      </c>
      <c r="F534" s="26"/>
    </row>
    <row r="535" spans="1:6" ht="21.95" customHeight="1" x14ac:dyDescent="0.25">
      <c r="A535" s="25" t="s">
        <v>827</v>
      </c>
      <c r="B535" s="25"/>
      <c r="C535" s="26" t="s">
        <v>115</v>
      </c>
      <c r="D535" s="27" t="s">
        <v>826</v>
      </c>
      <c r="E535" s="27">
        <f>COUNTIF(Questions!D:D,D535)</f>
        <v>2</v>
      </c>
      <c r="F535" s="26"/>
    </row>
    <row r="536" spans="1:6" ht="21.95" customHeight="1" x14ac:dyDescent="0.25">
      <c r="A536" s="25" t="s">
        <v>828</v>
      </c>
      <c r="B536" s="25"/>
      <c r="C536" s="26" t="s">
        <v>115</v>
      </c>
      <c r="D536" s="27" t="s">
        <v>829</v>
      </c>
      <c r="E536" s="27">
        <f>COUNTIF(Questions!D:D,D536)</f>
        <v>2</v>
      </c>
      <c r="F536" s="26"/>
    </row>
    <row r="537" spans="1:6" ht="21.95" customHeight="1" x14ac:dyDescent="0.25">
      <c r="A537" s="25" t="s">
        <v>830</v>
      </c>
      <c r="B537" s="25"/>
      <c r="C537" s="26" t="s">
        <v>115</v>
      </c>
      <c r="D537" s="27" t="s">
        <v>829</v>
      </c>
      <c r="E537" s="27">
        <f>COUNTIF(Questions!D:D,D537)</f>
        <v>2</v>
      </c>
      <c r="F537" s="26"/>
    </row>
    <row r="538" spans="1:6" ht="21.95" customHeight="1" x14ac:dyDescent="0.25">
      <c r="A538" s="37" t="s">
        <v>831</v>
      </c>
      <c r="B538" s="37"/>
      <c r="C538" s="38" t="s">
        <v>31</v>
      </c>
      <c r="D538" s="39" t="s">
        <v>832</v>
      </c>
      <c r="E538" s="39">
        <f>COUNTIF(Questions!D:D,D538)</f>
        <v>2</v>
      </c>
      <c r="F538" s="38"/>
    </row>
    <row r="539" spans="1:6" ht="21.95" customHeight="1" x14ac:dyDescent="0.25">
      <c r="A539" s="37" t="s">
        <v>833</v>
      </c>
      <c r="B539" s="37"/>
      <c r="C539" s="38" t="s">
        <v>31</v>
      </c>
      <c r="D539" s="39" t="s">
        <v>832</v>
      </c>
      <c r="E539" s="39">
        <f>COUNTIF(Questions!D:D,D539)</f>
        <v>2</v>
      </c>
      <c r="F539" s="38"/>
    </row>
    <row r="540" spans="1:6" ht="21.95" customHeight="1" x14ac:dyDescent="0.25">
      <c r="A540" s="52" t="s">
        <v>834</v>
      </c>
      <c r="B540" s="52"/>
      <c r="C540" s="53" t="s">
        <v>50</v>
      </c>
      <c r="D540" s="54" t="s">
        <v>835</v>
      </c>
      <c r="E540" s="54">
        <f>COUNTIF(Questions!D:D,D540)</f>
        <v>2</v>
      </c>
      <c r="F540" s="53"/>
    </row>
    <row r="541" spans="1:6" ht="21.95" customHeight="1" x14ac:dyDescent="0.25">
      <c r="A541" s="52" t="s">
        <v>836</v>
      </c>
      <c r="B541" s="52"/>
      <c r="C541" s="53" t="s">
        <v>50</v>
      </c>
      <c r="D541" s="54" t="s">
        <v>835</v>
      </c>
      <c r="E541" s="54">
        <f>COUNTIF(Questions!D:D,D541)</f>
        <v>2</v>
      </c>
      <c r="F541" s="53"/>
    </row>
    <row r="542" spans="1:6" ht="21.95" customHeight="1" x14ac:dyDescent="0.25">
      <c r="A542" s="19" t="s">
        <v>837</v>
      </c>
      <c r="B542" s="19"/>
      <c r="C542" s="20" t="s">
        <v>35</v>
      </c>
      <c r="D542" s="21" t="s">
        <v>838</v>
      </c>
      <c r="E542" s="21">
        <f>COUNTIF(Questions!D:D,D542)</f>
        <v>2</v>
      </c>
      <c r="F542" s="20"/>
    </row>
    <row r="543" spans="1:6" ht="21.95" customHeight="1" x14ac:dyDescent="0.25">
      <c r="A543" s="19" t="s">
        <v>839</v>
      </c>
      <c r="B543" s="19"/>
      <c r="C543" s="20" t="s">
        <v>35</v>
      </c>
      <c r="D543" s="21" t="s">
        <v>838</v>
      </c>
      <c r="E543" s="21">
        <f>COUNTIF(Questions!D:D,D543)</f>
        <v>2</v>
      </c>
      <c r="F543" s="20"/>
    </row>
    <row r="544" spans="1:6" ht="21.95" customHeight="1" x14ac:dyDescent="0.25">
      <c r="A544" s="40" t="s">
        <v>840</v>
      </c>
      <c r="B544" s="40"/>
      <c r="C544" s="41" t="s">
        <v>78</v>
      </c>
      <c r="D544" s="42" t="s">
        <v>841</v>
      </c>
      <c r="E544" s="42">
        <f>COUNTIF(Questions!D:D,D544)</f>
        <v>2</v>
      </c>
      <c r="F544" s="41"/>
    </row>
    <row r="545" spans="1:6" ht="21.95" customHeight="1" x14ac:dyDescent="0.25">
      <c r="A545" s="40" t="s">
        <v>842</v>
      </c>
      <c r="B545" s="40"/>
      <c r="C545" s="41" t="s">
        <v>78</v>
      </c>
      <c r="D545" s="42" t="s">
        <v>841</v>
      </c>
      <c r="E545" s="42">
        <f>COUNTIF(Questions!D:D,D545)</f>
        <v>2</v>
      </c>
      <c r="F545" s="41"/>
    </row>
    <row r="546" spans="1:6" ht="21.95" customHeight="1" x14ac:dyDescent="0.25">
      <c r="A546" s="43" t="s">
        <v>843</v>
      </c>
      <c r="B546" s="43"/>
      <c r="C546" s="44" t="s">
        <v>6</v>
      </c>
      <c r="D546" s="45" t="s">
        <v>844</v>
      </c>
      <c r="E546" s="45">
        <f>COUNTIF(Questions!D:D,D546)</f>
        <v>2</v>
      </c>
      <c r="F546" s="44"/>
    </row>
    <row r="547" spans="1:6" ht="21.95" customHeight="1" x14ac:dyDescent="0.25">
      <c r="A547" s="43" t="s">
        <v>845</v>
      </c>
      <c r="B547" s="43"/>
      <c r="C547" s="44" t="s">
        <v>6</v>
      </c>
      <c r="D547" s="45" t="s">
        <v>844</v>
      </c>
      <c r="E547" s="45">
        <f>COUNTIF(Questions!D:D,D547)</f>
        <v>2</v>
      </c>
      <c r="F547" s="44"/>
    </row>
    <row r="548" spans="1:6" ht="21.95" customHeight="1" x14ac:dyDescent="0.25">
      <c r="A548" s="25" t="s">
        <v>846</v>
      </c>
      <c r="B548" s="25"/>
      <c r="C548" s="26" t="s">
        <v>115</v>
      </c>
      <c r="D548" s="27" t="s">
        <v>847</v>
      </c>
      <c r="E548" s="27">
        <f>COUNTIF(Questions!D:D,D548)</f>
        <v>2</v>
      </c>
      <c r="F548" s="26"/>
    </row>
    <row r="549" spans="1:6" ht="21.95" customHeight="1" x14ac:dyDescent="0.25">
      <c r="A549" s="25" t="s">
        <v>848</v>
      </c>
      <c r="B549" s="25"/>
      <c r="C549" s="26" t="s">
        <v>115</v>
      </c>
      <c r="D549" s="27" t="s">
        <v>847</v>
      </c>
      <c r="E549" s="27">
        <f>COUNTIF(Questions!D:D,D549)</f>
        <v>2</v>
      </c>
      <c r="F549" s="26"/>
    </row>
    <row r="550" spans="1:6" ht="21.95" customHeight="1" x14ac:dyDescent="0.25">
      <c r="A550" s="34" t="s">
        <v>849</v>
      </c>
      <c r="B550" s="34"/>
      <c r="C550" s="35" t="s">
        <v>35</v>
      </c>
      <c r="D550" s="36" t="s">
        <v>850</v>
      </c>
      <c r="E550" s="36">
        <f>COUNTIF(Questions!D:D,D550)</f>
        <v>2</v>
      </c>
      <c r="F550" s="35"/>
    </row>
    <row r="551" spans="1:6" ht="21.95" customHeight="1" x14ac:dyDescent="0.25">
      <c r="A551" s="34" t="s">
        <v>851</v>
      </c>
      <c r="B551" s="34"/>
      <c r="C551" s="35" t="s">
        <v>35</v>
      </c>
      <c r="D551" s="36" t="s">
        <v>850</v>
      </c>
      <c r="E551" s="36">
        <f>COUNTIF(Questions!D:D,D551)</f>
        <v>2</v>
      </c>
      <c r="F551" s="35"/>
    </row>
    <row r="552" spans="1:6" ht="21.95" customHeight="1" x14ac:dyDescent="0.25">
      <c r="A552" s="28" t="s">
        <v>852</v>
      </c>
      <c r="B552" s="28"/>
      <c r="C552" s="29" t="s">
        <v>94</v>
      </c>
      <c r="D552" s="30" t="s">
        <v>853</v>
      </c>
      <c r="E552" s="30">
        <f>COUNTIF(Questions!D:D,D552)</f>
        <v>2</v>
      </c>
      <c r="F552" s="29"/>
    </row>
    <row r="553" spans="1:6" ht="21.95" customHeight="1" x14ac:dyDescent="0.25">
      <c r="A553" s="28" t="s">
        <v>854</v>
      </c>
      <c r="B553" s="28"/>
      <c r="C553" s="29" t="s">
        <v>94</v>
      </c>
      <c r="D553" s="30" t="s">
        <v>853</v>
      </c>
      <c r="E553" s="30">
        <f>COUNTIF(Questions!D:D,D553)</f>
        <v>2</v>
      </c>
      <c r="F553" s="29"/>
    </row>
    <row r="554" spans="1:6" ht="21.95" customHeight="1" x14ac:dyDescent="0.25">
      <c r="A554" s="28" t="s">
        <v>855</v>
      </c>
      <c r="B554" s="28"/>
      <c r="C554" s="29" t="s">
        <v>6</v>
      </c>
      <c r="D554" s="30" t="s">
        <v>856</v>
      </c>
      <c r="E554" s="30">
        <f>COUNTIF(Questions!D:D,D554)</f>
        <v>2</v>
      </c>
      <c r="F554" s="29"/>
    </row>
    <row r="555" spans="1:6" ht="21.95" customHeight="1" x14ac:dyDescent="0.25">
      <c r="A555" s="22" t="s">
        <v>857</v>
      </c>
      <c r="B555" s="22"/>
      <c r="C555" s="23" t="s">
        <v>10</v>
      </c>
      <c r="D555" s="24" t="s">
        <v>858</v>
      </c>
      <c r="E555" s="24">
        <f>COUNTIF(Questions!D:D,D555)</f>
        <v>2</v>
      </c>
      <c r="F555" s="23"/>
    </row>
    <row r="556" spans="1:6" ht="21.95" customHeight="1" x14ac:dyDescent="0.25">
      <c r="A556" s="22" t="s">
        <v>859</v>
      </c>
      <c r="B556" s="22"/>
      <c r="C556" s="23" t="s">
        <v>10</v>
      </c>
      <c r="D556" s="24" t="s">
        <v>858</v>
      </c>
      <c r="E556" s="24">
        <f>COUNTIF(Questions!D:D,D556)</f>
        <v>2</v>
      </c>
      <c r="F556" s="23" t="s">
        <v>718</v>
      </c>
    </row>
    <row r="557" spans="1:6" ht="21.95" customHeight="1" x14ac:dyDescent="0.25">
      <c r="A557" s="25" t="s">
        <v>860</v>
      </c>
      <c r="B557" s="25"/>
      <c r="C557" s="26" t="s">
        <v>94</v>
      </c>
      <c r="D557" s="27" t="s">
        <v>861</v>
      </c>
      <c r="E557" s="27">
        <f>COUNTIF(Questions!D:D,D557)</f>
        <v>2</v>
      </c>
      <c r="F557" s="26"/>
    </row>
    <row r="558" spans="1:6" ht="21.95" customHeight="1" x14ac:dyDescent="0.25">
      <c r="A558" s="25" t="s">
        <v>862</v>
      </c>
      <c r="B558" s="25"/>
      <c r="C558" s="26" t="s">
        <v>94</v>
      </c>
      <c r="D558" s="27" t="s">
        <v>861</v>
      </c>
      <c r="E558" s="27">
        <f>COUNTIF(Questions!D:D,D558)</f>
        <v>2</v>
      </c>
      <c r="F558" s="26" t="s">
        <v>863</v>
      </c>
    </row>
    <row r="559" spans="1:6" ht="21.95" customHeight="1" x14ac:dyDescent="0.25">
      <c r="A559" s="37" t="s">
        <v>864</v>
      </c>
      <c r="B559" s="37"/>
      <c r="C559" s="38" t="s">
        <v>31</v>
      </c>
      <c r="D559" s="39" t="s">
        <v>865</v>
      </c>
      <c r="E559" s="39">
        <f>COUNTIF(Questions!D:D,D559)</f>
        <v>2</v>
      </c>
      <c r="F559" s="38"/>
    </row>
    <row r="560" spans="1:6" ht="21.95" customHeight="1" x14ac:dyDescent="0.25">
      <c r="A560" s="37" t="s">
        <v>866</v>
      </c>
      <c r="B560" s="37"/>
      <c r="C560" s="38" t="s">
        <v>31</v>
      </c>
      <c r="D560" s="39" t="s">
        <v>865</v>
      </c>
      <c r="E560" s="39">
        <f>COUNTIF(Questions!D:D,D560)</f>
        <v>2</v>
      </c>
      <c r="F560" s="38"/>
    </row>
    <row r="561" spans="1:6" ht="21.95" customHeight="1" x14ac:dyDescent="0.25">
      <c r="A561" s="28" t="s">
        <v>867</v>
      </c>
      <c r="B561" s="28"/>
      <c r="C561" s="29" t="s">
        <v>94</v>
      </c>
      <c r="D561" s="30" t="s">
        <v>868</v>
      </c>
      <c r="E561" s="30">
        <f>COUNTIF(Questions!D:D,D561)</f>
        <v>2</v>
      </c>
      <c r="F561" s="29"/>
    </row>
    <row r="562" spans="1:6" ht="21.95" customHeight="1" x14ac:dyDescent="0.25">
      <c r="A562" s="28" t="s">
        <v>869</v>
      </c>
      <c r="B562" s="28"/>
      <c r="C562" s="29" t="s">
        <v>94</v>
      </c>
      <c r="D562" s="30" t="s">
        <v>868</v>
      </c>
      <c r="E562" s="30">
        <f>COUNTIF(Questions!D:D,D562)</f>
        <v>2</v>
      </c>
      <c r="F562" s="29"/>
    </row>
    <row r="563" spans="1:6" ht="21.95" customHeight="1" x14ac:dyDescent="0.25">
      <c r="A563" s="25" t="s">
        <v>870</v>
      </c>
      <c r="B563" s="25"/>
      <c r="C563" s="26" t="s">
        <v>115</v>
      </c>
      <c r="D563" s="27" t="s">
        <v>871</v>
      </c>
      <c r="E563" s="27">
        <f>COUNTIF(Questions!D:D,D563)</f>
        <v>2</v>
      </c>
      <c r="F563" s="26"/>
    </row>
    <row r="564" spans="1:6" ht="21.95" customHeight="1" x14ac:dyDescent="0.25">
      <c r="A564" s="25" t="s">
        <v>872</v>
      </c>
      <c r="B564" s="25"/>
      <c r="C564" s="26" t="s">
        <v>115</v>
      </c>
      <c r="D564" s="27" t="s">
        <v>871</v>
      </c>
      <c r="E564" s="27">
        <f>COUNTIF(Questions!D:D,D564)</f>
        <v>2</v>
      </c>
      <c r="F564" s="26"/>
    </row>
    <row r="565" spans="1:6" ht="21.95" customHeight="1" x14ac:dyDescent="0.25">
      <c r="A565" s="28" t="s">
        <v>873</v>
      </c>
      <c r="B565" s="28"/>
      <c r="C565" s="29" t="s">
        <v>10</v>
      </c>
      <c r="D565" s="30" t="s">
        <v>874</v>
      </c>
      <c r="E565" s="30">
        <f>COUNTIF(Questions!D:D,D565)</f>
        <v>2</v>
      </c>
      <c r="F565" s="29"/>
    </row>
    <row r="566" spans="1:6" ht="21.95" customHeight="1" x14ac:dyDescent="0.25">
      <c r="A566" s="28" t="s">
        <v>875</v>
      </c>
      <c r="B566" s="28"/>
      <c r="C566" s="29" t="s">
        <v>10</v>
      </c>
      <c r="D566" s="30" t="s">
        <v>874</v>
      </c>
      <c r="E566" s="30">
        <f>COUNTIF(Questions!D:D,D566)</f>
        <v>2</v>
      </c>
      <c r="F566" s="29"/>
    </row>
    <row r="567" spans="1:6" ht="21.95" customHeight="1" x14ac:dyDescent="0.25">
      <c r="A567" s="37" t="s">
        <v>876</v>
      </c>
      <c r="B567" s="37"/>
      <c r="C567" s="38" t="s">
        <v>31</v>
      </c>
      <c r="D567" s="39" t="s">
        <v>877</v>
      </c>
      <c r="E567" s="39">
        <f>COUNTIF(Questions!D:D,D567)</f>
        <v>2</v>
      </c>
      <c r="F567" s="38"/>
    </row>
    <row r="568" spans="1:6" ht="21.95" customHeight="1" x14ac:dyDescent="0.25">
      <c r="A568" s="37" t="s">
        <v>878</v>
      </c>
      <c r="B568" s="37"/>
      <c r="C568" s="38" t="s">
        <v>31</v>
      </c>
      <c r="D568" s="39" t="s">
        <v>877</v>
      </c>
      <c r="E568" s="39">
        <f>COUNTIF(Questions!D:D,D568)</f>
        <v>2</v>
      </c>
      <c r="F568" s="38"/>
    </row>
    <row r="569" spans="1:6" ht="21.95" customHeight="1" x14ac:dyDescent="0.25">
      <c r="A569" s="16" t="s">
        <v>879</v>
      </c>
      <c r="B569" s="16"/>
      <c r="C569" s="17" t="s">
        <v>50</v>
      </c>
      <c r="D569" s="18" t="s">
        <v>880</v>
      </c>
      <c r="E569" s="18">
        <f>COUNTIF(Questions!D:D,D569)</f>
        <v>2</v>
      </c>
      <c r="F569" s="17"/>
    </row>
    <row r="570" spans="1:6" ht="21.95" customHeight="1" x14ac:dyDescent="0.25">
      <c r="A570" s="16" t="s">
        <v>881</v>
      </c>
      <c r="B570" s="16"/>
      <c r="C570" s="17" t="s">
        <v>50</v>
      </c>
      <c r="D570" s="18" t="s">
        <v>880</v>
      </c>
      <c r="E570" s="18">
        <f>COUNTIF(Questions!D:D,D570)</f>
        <v>2</v>
      </c>
      <c r="F570" s="17" t="s">
        <v>428</v>
      </c>
    </row>
    <row r="571" spans="1:6" ht="21.95" customHeight="1" x14ac:dyDescent="0.25">
      <c r="A571" s="40" t="s">
        <v>882</v>
      </c>
      <c r="B571" s="40"/>
      <c r="C571" s="41" t="s">
        <v>78</v>
      </c>
      <c r="D571" s="42" t="s">
        <v>883</v>
      </c>
      <c r="E571" s="42">
        <f>COUNTIF(Questions!D:D,D571)</f>
        <v>2</v>
      </c>
      <c r="F571" s="41"/>
    </row>
    <row r="572" spans="1:6" ht="21.95" customHeight="1" x14ac:dyDescent="0.25">
      <c r="A572" s="40" t="s">
        <v>884</v>
      </c>
      <c r="B572" s="40"/>
      <c r="C572" s="41" t="s">
        <v>78</v>
      </c>
      <c r="D572" s="42" t="s">
        <v>883</v>
      </c>
      <c r="E572" s="42">
        <f>COUNTIF(Questions!D:D,D572)</f>
        <v>2</v>
      </c>
      <c r="F572" s="41">
        <v>23</v>
      </c>
    </row>
    <row r="573" spans="1:6" ht="21.95" customHeight="1" x14ac:dyDescent="0.25">
      <c r="A573" s="13" t="s">
        <v>885</v>
      </c>
      <c r="B573" s="13"/>
      <c r="C573" s="14" t="s">
        <v>43</v>
      </c>
      <c r="D573" s="15" t="s">
        <v>886</v>
      </c>
      <c r="E573" s="15">
        <f>COUNTIF(Questions!D:D,D573)</f>
        <v>2</v>
      </c>
      <c r="F573" s="14"/>
    </row>
    <row r="574" spans="1:6" ht="21.95" customHeight="1" x14ac:dyDescent="0.25">
      <c r="A574" s="13" t="s">
        <v>887</v>
      </c>
      <c r="B574" s="13"/>
      <c r="C574" s="14" t="s">
        <v>43</v>
      </c>
      <c r="D574" s="15" t="s">
        <v>886</v>
      </c>
      <c r="E574" s="15">
        <f>COUNTIF(Questions!D:D,D574)</f>
        <v>2</v>
      </c>
      <c r="F574" s="14"/>
    </row>
    <row r="575" spans="1:6" ht="21.95" customHeight="1" x14ac:dyDescent="0.25">
      <c r="A575" s="25" t="s">
        <v>888</v>
      </c>
      <c r="B575" s="25"/>
      <c r="C575" s="26" t="s">
        <v>115</v>
      </c>
      <c r="D575" s="27" t="s">
        <v>889</v>
      </c>
      <c r="E575" s="27">
        <f>COUNTIF(Questions!D:D,D575)</f>
        <v>2</v>
      </c>
      <c r="F575" s="26"/>
    </row>
    <row r="576" spans="1:6" ht="26.45" customHeight="1" x14ac:dyDescent="0.25">
      <c r="A576" s="25" t="s">
        <v>890</v>
      </c>
      <c r="B576" s="25"/>
      <c r="C576" s="26" t="s">
        <v>115</v>
      </c>
      <c r="D576" s="27" t="s">
        <v>889</v>
      </c>
      <c r="E576" s="27">
        <f>COUNTIF(Questions!D:D,D576)</f>
        <v>2</v>
      </c>
      <c r="F576" s="26"/>
    </row>
    <row r="577" spans="1:6" ht="21.95" customHeight="1" x14ac:dyDescent="0.25">
      <c r="A577" s="49" t="s">
        <v>891</v>
      </c>
      <c r="B577" s="49"/>
      <c r="C577" s="50" t="s">
        <v>6</v>
      </c>
      <c r="D577" s="51" t="s">
        <v>856</v>
      </c>
      <c r="E577" s="51">
        <f>COUNTIF(Questions!D:D,D577)</f>
        <v>2</v>
      </c>
      <c r="F577" s="50"/>
    </row>
    <row r="578" spans="1:6" ht="21.95" customHeight="1" x14ac:dyDescent="0.25">
      <c r="A578" s="49" t="s">
        <v>892</v>
      </c>
      <c r="B578" s="49"/>
      <c r="C578" s="50" t="s">
        <v>6</v>
      </c>
      <c r="D578" s="51" t="s">
        <v>893</v>
      </c>
      <c r="E578" s="51">
        <f>COUNTIF(Questions!D:D,D578)</f>
        <v>2</v>
      </c>
      <c r="F578" s="50"/>
    </row>
    <row r="579" spans="1:6" ht="21.95" customHeight="1" x14ac:dyDescent="0.25">
      <c r="A579" s="49" t="s">
        <v>894</v>
      </c>
      <c r="B579" s="49"/>
      <c r="C579" s="50" t="s">
        <v>6</v>
      </c>
      <c r="D579" s="51" t="s">
        <v>893</v>
      </c>
      <c r="E579" s="51">
        <f>COUNTIF(Questions!D:D,D579)</f>
        <v>2</v>
      </c>
      <c r="F579" s="50"/>
    </row>
    <row r="580" spans="1:6" ht="21.95" customHeight="1" x14ac:dyDescent="0.25">
      <c r="A580" s="9" t="s">
        <v>895</v>
      </c>
      <c r="B580" s="9"/>
      <c r="C580" s="10" t="s">
        <v>6</v>
      </c>
      <c r="D580" s="11" t="s">
        <v>896</v>
      </c>
      <c r="E580" s="11">
        <f>COUNTIF(Questions!D:D,D580)</f>
        <v>2</v>
      </c>
      <c r="F580" s="12"/>
    </row>
    <row r="581" spans="1:6" ht="21.95" customHeight="1" x14ac:dyDescent="0.25">
      <c r="A581" s="43" t="s">
        <v>897</v>
      </c>
      <c r="B581" s="43"/>
      <c r="C581" s="44" t="s">
        <v>6</v>
      </c>
      <c r="D581" s="45" t="s">
        <v>896</v>
      </c>
      <c r="E581" s="45">
        <f>COUNTIF(Questions!D:D,D581)</f>
        <v>2</v>
      </c>
      <c r="F581" s="44"/>
    </row>
    <row r="582" spans="1:6" ht="21.95" customHeight="1" x14ac:dyDescent="0.25">
      <c r="A582" s="28" t="s">
        <v>898</v>
      </c>
      <c r="B582" s="28"/>
      <c r="C582" s="29" t="s">
        <v>14</v>
      </c>
      <c r="D582" s="30" t="s">
        <v>899</v>
      </c>
      <c r="E582" s="30">
        <f>COUNTIF(Questions!D:D,D582)</f>
        <v>2</v>
      </c>
      <c r="F582" s="29"/>
    </row>
    <row r="583" spans="1:6" ht="21.95" customHeight="1" x14ac:dyDescent="0.25">
      <c r="A583" s="28" t="s">
        <v>900</v>
      </c>
      <c r="B583" s="28"/>
      <c r="C583" s="29" t="s">
        <v>14</v>
      </c>
      <c r="D583" s="30" t="s">
        <v>899</v>
      </c>
      <c r="E583" s="30">
        <f>COUNTIF(Questions!D:D,D583)</f>
        <v>2</v>
      </c>
      <c r="F583" s="29"/>
    </row>
    <row r="584" spans="1:6" ht="21.95" customHeight="1" x14ac:dyDescent="0.25">
      <c r="A584" s="37" t="s">
        <v>901</v>
      </c>
      <c r="B584" s="37"/>
      <c r="C584" s="38" t="s">
        <v>31</v>
      </c>
      <c r="D584" s="39" t="s">
        <v>902</v>
      </c>
      <c r="E584" s="39">
        <f>COUNTIF(Questions!D:D,D584)</f>
        <v>2</v>
      </c>
      <c r="F584" s="38"/>
    </row>
    <row r="585" spans="1:6" ht="21.95" customHeight="1" x14ac:dyDescent="0.25">
      <c r="A585" s="37" t="s">
        <v>903</v>
      </c>
      <c r="B585" s="37"/>
      <c r="C585" s="38" t="s">
        <v>31</v>
      </c>
      <c r="D585" s="39" t="s">
        <v>902</v>
      </c>
      <c r="E585" s="39">
        <f>COUNTIF(Questions!D:D,D585)</f>
        <v>2</v>
      </c>
      <c r="F585" s="38"/>
    </row>
    <row r="586" spans="1:6" ht="21.95" customHeight="1" x14ac:dyDescent="0.25">
      <c r="A586" s="19" t="s">
        <v>904</v>
      </c>
      <c r="B586" s="19"/>
      <c r="C586" s="20" t="s">
        <v>35</v>
      </c>
      <c r="D586" s="21" t="s">
        <v>905</v>
      </c>
      <c r="E586" s="21">
        <f>COUNTIF(Questions!D:D,D586)</f>
        <v>2</v>
      </c>
      <c r="F586" s="20"/>
    </row>
    <row r="587" spans="1:6" ht="21.95" customHeight="1" x14ac:dyDescent="0.25">
      <c r="A587" s="19" t="s">
        <v>906</v>
      </c>
      <c r="B587" s="19"/>
      <c r="C587" s="20" t="s">
        <v>35</v>
      </c>
      <c r="D587" s="21" t="s">
        <v>905</v>
      </c>
      <c r="E587" s="21">
        <f>COUNTIF(Questions!D:D,D587)</f>
        <v>2</v>
      </c>
      <c r="F587" s="20">
        <v>23</v>
      </c>
    </row>
    <row r="588" spans="1:6" ht="21.95" customHeight="1" x14ac:dyDescent="0.25">
      <c r="A588" s="49" t="s">
        <v>907</v>
      </c>
      <c r="B588" s="49"/>
      <c r="C588" s="50" t="s">
        <v>39</v>
      </c>
      <c r="D588" s="51" t="s">
        <v>908</v>
      </c>
      <c r="E588" s="51">
        <f>COUNTIF(Questions!D:D,D588)</f>
        <v>2</v>
      </c>
      <c r="F588" s="50"/>
    </row>
    <row r="589" spans="1:6" ht="21.95" customHeight="1" x14ac:dyDescent="0.25">
      <c r="A589" s="49" t="s">
        <v>909</v>
      </c>
      <c r="B589" s="49"/>
      <c r="C589" s="50" t="s">
        <v>39</v>
      </c>
      <c r="D589" s="51" t="s">
        <v>908</v>
      </c>
      <c r="E589" s="51">
        <f>COUNTIF(Questions!D:D,D589)</f>
        <v>2</v>
      </c>
      <c r="F589" s="50"/>
    </row>
    <row r="590" spans="1:6" ht="21.95" customHeight="1" x14ac:dyDescent="0.25">
      <c r="A590" s="25" t="s">
        <v>910</v>
      </c>
      <c r="B590" s="25"/>
      <c r="C590" s="26" t="s">
        <v>115</v>
      </c>
      <c r="D590" s="27" t="s">
        <v>911</v>
      </c>
      <c r="E590" s="27">
        <f>COUNTIF(Questions!D:D,D590)</f>
        <v>2</v>
      </c>
      <c r="F590" s="26"/>
    </row>
    <row r="591" spans="1:6" ht="21.95" customHeight="1" x14ac:dyDescent="0.25">
      <c r="A591" s="25" t="s">
        <v>912</v>
      </c>
      <c r="B591" s="25"/>
      <c r="C591" s="26" t="s">
        <v>115</v>
      </c>
      <c r="D591" s="27" t="s">
        <v>911</v>
      </c>
      <c r="E591" s="27">
        <f>COUNTIF(Questions!D:D,D591)</f>
        <v>2</v>
      </c>
      <c r="F591" s="26">
        <v>23</v>
      </c>
    </row>
    <row r="592" spans="1:6" ht="21.95" customHeight="1" x14ac:dyDescent="0.25">
      <c r="A592" s="6" t="s">
        <v>913</v>
      </c>
      <c r="B592" s="6"/>
      <c r="C592" s="7" t="s">
        <v>27</v>
      </c>
      <c r="D592" s="8" t="s">
        <v>914</v>
      </c>
      <c r="E592" s="8">
        <f>COUNTIF(Questions!D:D,D592)</f>
        <v>2</v>
      </c>
      <c r="F592" s="7"/>
    </row>
    <row r="593" spans="1:6" ht="21.95" customHeight="1" x14ac:dyDescent="0.25">
      <c r="A593" s="6" t="s">
        <v>915</v>
      </c>
      <c r="B593" s="6"/>
      <c r="C593" s="7" t="s">
        <v>27</v>
      </c>
      <c r="D593" s="8" t="s">
        <v>914</v>
      </c>
      <c r="E593" s="8">
        <f>COUNTIF(Questions!D:D,D593)</f>
        <v>2</v>
      </c>
      <c r="F593" s="7"/>
    </row>
    <row r="594" spans="1:6" ht="21.95" customHeight="1" x14ac:dyDescent="0.25">
      <c r="A594" s="43" t="s">
        <v>916</v>
      </c>
      <c r="B594" s="43"/>
      <c r="C594" s="44" t="s">
        <v>39</v>
      </c>
      <c r="D594" s="45" t="s">
        <v>917</v>
      </c>
      <c r="E594" s="45">
        <f>COUNTIF(Questions!D:D,D594)</f>
        <v>2</v>
      </c>
      <c r="F594" s="44"/>
    </row>
    <row r="595" spans="1:6" ht="21.95" customHeight="1" x14ac:dyDescent="0.25">
      <c r="A595" s="43" t="s">
        <v>918</v>
      </c>
      <c r="B595" s="43"/>
      <c r="C595" s="44" t="s">
        <v>39</v>
      </c>
      <c r="D595" s="45" t="s">
        <v>917</v>
      </c>
      <c r="E595" s="45">
        <f>COUNTIF(Questions!D:D,D595)</f>
        <v>2</v>
      </c>
      <c r="F595" s="44">
        <v>23</v>
      </c>
    </row>
    <row r="596" spans="1:6" ht="21.95" customHeight="1" x14ac:dyDescent="0.25">
      <c r="A596" s="6" t="s">
        <v>919</v>
      </c>
      <c r="B596" s="6"/>
      <c r="C596" s="7" t="s">
        <v>27</v>
      </c>
      <c r="D596" s="8" t="s">
        <v>920</v>
      </c>
      <c r="E596" s="8">
        <f>COUNTIF(Questions!D:D,D596)</f>
        <v>2</v>
      </c>
      <c r="F596" s="7"/>
    </row>
    <row r="597" spans="1:6" ht="21.95" customHeight="1" x14ac:dyDescent="0.25">
      <c r="A597" s="6" t="s">
        <v>921</v>
      </c>
      <c r="B597" s="6"/>
      <c r="C597" s="7" t="s">
        <v>27</v>
      </c>
      <c r="D597" s="8" t="s">
        <v>920</v>
      </c>
      <c r="E597" s="8">
        <f>COUNTIF(Questions!D:D,D597)</f>
        <v>2</v>
      </c>
      <c r="F597" s="7"/>
    </row>
    <row r="598" spans="1:6" ht="21.95" customHeight="1" x14ac:dyDescent="0.25">
      <c r="A598" s="49" t="s">
        <v>922</v>
      </c>
      <c r="B598" s="49"/>
      <c r="C598" s="50" t="s">
        <v>39</v>
      </c>
      <c r="D598" s="51" t="s">
        <v>923</v>
      </c>
      <c r="E598" s="51">
        <f>COUNTIF(Questions!D:D,D598)</f>
        <v>2</v>
      </c>
      <c r="F598" s="50"/>
    </row>
    <row r="599" spans="1:6" ht="21.95" customHeight="1" x14ac:dyDescent="0.25">
      <c r="A599" s="49" t="s">
        <v>924</v>
      </c>
      <c r="B599" s="49"/>
      <c r="C599" s="50" t="s">
        <v>39</v>
      </c>
      <c r="D599" s="51" t="s">
        <v>923</v>
      </c>
      <c r="E599" s="51">
        <f>COUNTIF(Questions!D:D,D599)</f>
        <v>2</v>
      </c>
      <c r="F599" s="50"/>
    </row>
    <row r="600" spans="1:6" ht="21.95" customHeight="1" x14ac:dyDescent="0.25">
      <c r="A600" s="25" t="s">
        <v>925</v>
      </c>
      <c r="B600" s="25"/>
      <c r="C600" s="26" t="s">
        <v>115</v>
      </c>
      <c r="D600" s="27" t="s">
        <v>926</v>
      </c>
      <c r="E600" s="27">
        <f>COUNTIF(Questions!D:D,D600)</f>
        <v>2</v>
      </c>
      <c r="F600" s="26"/>
    </row>
    <row r="601" spans="1:6" ht="21.95" customHeight="1" x14ac:dyDescent="0.25">
      <c r="A601" s="25" t="s">
        <v>927</v>
      </c>
      <c r="B601" s="25"/>
      <c r="C601" s="26" t="s">
        <v>115</v>
      </c>
      <c r="D601" s="27" t="s">
        <v>926</v>
      </c>
      <c r="E601" s="27">
        <f>COUNTIF(Questions!D:D,D601)</f>
        <v>2</v>
      </c>
      <c r="F601" s="26"/>
    </row>
    <row r="602" spans="1:6" ht="21.95" customHeight="1" x14ac:dyDescent="0.25">
      <c r="A602" s="13" t="s">
        <v>928</v>
      </c>
      <c r="B602" s="13"/>
      <c r="C602" s="14" t="s">
        <v>43</v>
      </c>
      <c r="D602" s="15" t="s">
        <v>929</v>
      </c>
      <c r="E602" s="15">
        <f>COUNTIF(Questions!D:D,D602)</f>
        <v>2</v>
      </c>
      <c r="F602" s="14"/>
    </row>
    <row r="603" spans="1:6" ht="21.95" customHeight="1" x14ac:dyDescent="0.25">
      <c r="A603" s="13" t="s">
        <v>930</v>
      </c>
      <c r="B603" s="13"/>
      <c r="C603" s="14" t="s">
        <v>43</v>
      </c>
      <c r="D603" s="15" t="s">
        <v>929</v>
      </c>
      <c r="E603" s="15">
        <f>COUNTIF(Questions!D:D,D603)</f>
        <v>2</v>
      </c>
      <c r="F603" s="14"/>
    </row>
    <row r="604" spans="1:6" ht="21.95" customHeight="1" x14ac:dyDescent="0.25">
      <c r="A604" s="43" t="s">
        <v>931</v>
      </c>
      <c r="B604" s="43"/>
      <c r="C604" s="44" t="s">
        <v>6</v>
      </c>
      <c r="D604" s="45" t="s">
        <v>932</v>
      </c>
      <c r="E604" s="45">
        <f>COUNTIF(Questions!D:D,D604)</f>
        <v>2</v>
      </c>
      <c r="F604" s="44"/>
    </row>
    <row r="605" spans="1:6" ht="21.95" customHeight="1" x14ac:dyDescent="0.25">
      <c r="A605" s="43" t="s">
        <v>933</v>
      </c>
      <c r="B605" s="43"/>
      <c r="C605" s="44" t="s">
        <v>6</v>
      </c>
      <c r="D605" s="45" t="s">
        <v>932</v>
      </c>
      <c r="E605" s="45">
        <f>COUNTIF(Questions!D:D,D605)</f>
        <v>2</v>
      </c>
      <c r="F605" s="44"/>
    </row>
    <row r="606" spans="1:6" ht="21.95" customHeight="1" x14ac:dyDescent="0.25">
      <c r="A606" s="43" t="s">
        <v>934</v>
      </c>
      <c r="B606" s="43"/>
      <c r="C606" s="44" t="s">
        <v>6</v>
      </c>
      <c r="D606" s="45" t="s">
        <v>935</v>
      </c>
      <c r="E606" s="45">
        <f>COUNTIF(Questions!D:D,D606)</f>
        <v>2</v>
      </c>
      <c r="F606" s="44"/>
    </row>
    <row r="607" spans="1:6" ht="21.95" customHeight="1" x14ac:dyDescent="0.25">
      <c r="A607" s="43" t="s">
        <v>936</v>
      </c>
      <c r="B607" s="43"/>
      <c r="C607" s="44" t="s">
        <v>6</v>
      </c>
      <c r="D607" s="45" t="s">
        <v>935</v>
      </c>
      <c r="E607" s="45">
        <v>2</v>
      </c>
      <c r="F607" s="44">
        <v>23</v>
      </c>
    </row>
    <row r="608" spans="1:6" ht="21.95" customHeight="1" x14ac:dyDescent="0.25">
      <c r="A608" s="19" t="s">
        <v>937</v>
      </c>
      <c r="B608" s="19"/>
      <c r="C608" s="20" t="s">
        <v>35</v>
      </c>
      <c r="D608" s="21" t="s">
        <v>938</v>
      </c>
      <c r="E608" s="21">
        <f>COUNTIF(Questions!D:D,D608)</f>
        <v>2</v>
      </c>
      <c r="F608" s="20"/>
    </row>
    <row r="609" spans="1:6" ht="21.95" customHeight="1" x14ac:dyDescent="0.25">
      <c r="A609" s="19" t="s">
        <v>939</v>
      </c>
      <c r="B609" s="19"/>
      <c r="C609" s="20" t="s">
        <v>35</v>
      </c>
      <c r="D609" s="21" t="s">
        <v>940</v>
      </c>
      <c r="E609" s="21">
        <f>COUNTIF(Questions!D:D,D609)</f>
        <v>2</v>
      </c>
      <c r="F609" s="20"/>
    </row>
    <row r="610" spans="1:6" ht="21.95" customHeight="1" x14ac:dyDescent="0.25">
      <c r="A610" s="19" t="s">
        <v>941</v>
      </c>
      <c r="B610" s="19"/>
      <c r="C610" s="20" t="s">
        <v>35</v>
      </c>
      <c r="D610" s="21" t="s">
        <v>940</v>
      </c>
      <c r="E610" s="21">
        <f>COUNTIF(Questions!D:D,D610)</f>
        <v>2</v>
      </c>
      <c r="F610" s="20">
        <v>23</v>
      </c>
    </row>
    <row r="611" spans="1:6" ht="21.95" customHeight="1" x14ac:dyDescent="0.25">
      <c r="A611" s="19" t="s">
        <v>942</v>
      </c>
      <c r="B611" s="19"/>
      <c r="C611" s="20" t="s">
        <v>35</v>
      </c>
      <c r="D611" s="21" t="s">
        <v>938</v>
      </c>
      <c r="E611" s="21">
        <f>COUNTIF(Questions!D:D,D611)</f>
        <v>2</v>
      </c>
      <c r="F611" s="20"/>
    </row>
    <row r="612" spans="1:6" ht="21.95" customHeight="1" x14ac:dyDescent="0.25">
      <c r="A612" s="49" t="s">
        <v>943</v>
      </c>
      <c r="B612" s="49"/>
      <c r="C612" s="50" t="s">
        <v>39</v>
      </c>
      <c r="D612" s="51" t="s">
        <v>944</v>
      </c>
      <c r="E612" s="51">
        <f>COUNTIF(Questions!D:D,D612)</f>
        <v>2</v>
      </c>
      <c r="F612" s="50"/>
    </row>
    <row r="613" spans="1:6" ht="21.95" customHeight="1" x14ac:dyDescent="0.25">
      <c r="A613" s="49" t="s">
        <v>945</v>
      </c>
      <c r="B613" s="49"/>
      <c r="C613" s="50" t="s">
        <v>39</v>
      </c>
      <c r="D613" s="51" t="s">
        <v>946</v>
      </c>
      <c r="E613" s="51">
        <f>COUNTIF(Questions!D:D,D613)</f>
        <v>2</v>
      </c>
      <c r="F613" s="50"/>
    </row>
    <row r="614" spans="1:6" ht="21.95" customHeight="1" x14ac:dyDescent="0.25">
      <c r="A614" s="49" t="s">
        <v>947</v>
      </c>
      <c r="B614" s="49"/>
      <c r="C614" s="50" t="s">
        <v>39</v>
      </c>
      <c r="D614" s="51" t="s">
        <v>946</v>
      </c>
      <c r="E614" s="51">
        <f>COUNTIF(Questions!D:D,D614)</f>
        <v>2</v>
      </c>
      <c r="F614" s="50">
        <v>23</v>
      </c>
    </row>
    <row r="615" spans="1:6" ht="21.95" customHeight="1" x14ac:dyDescent="0.25">
      <c r="A615" s="49" t="s">
        <v>948</v>
      </c>
      <c r="B615" s="49"/>
      <c r="C615" s="50" t="s">
        <v>39</v>
      </c>
      <c r="D615" s="51" t="s">
        <v>944</v>
      </c>
      <c r="E615" s="51">
        <f>COUNTIF(Questions!D:D,D615)</f>
        <v>2</v>
      </c>
      <c r="F615" s="50"/>
    </row>
    <row r="616" spans="1:6" ht="21.95" customHeight="1" x14ac:dyDescent="0.25">
      <c r="A616" s="6" t="s">
        <v>949</v>
      </c>
      <c r="B616" s="6"/>
      <c r="C616" s="7" t="s">
        <v>14</v>
      </c>
      <c r="D616" s="8" t="s">
        <v>950</v>
      </c>
      <c r="E616" s="8">
        <f>COUNTIF(Questions!D:D,D616)</f>
        <v>2</v>
      </c>
      <c r="F616" s="7"/>
    </row>
    <row r="617" spans="1:6" ht="21.95" customHeight="1" x14ac:dyDescent="0.25">
      <c r="A617" s="6" t="s">
        <v>951</v>
      </c>
      <c r="B617" s="6"/>
      <c r="C617" s="7" t="s">
        <v>27</v>
      </c>
      <c r="D617" s="8" t="s">
        <v>952</v>
      </c>
      <c r="E617" s="8">
        <f>COUNTIF(Questions!D:D,D617)</f>
        <v>2</v>
      </c>
      <c r="F617" s="7"/>
    </row>
    <row r="618" spans="1:6" ht="21.95" customHeight="1" x14ac:dyDescent="0.25">
      <c r="A618" s="37" t="s">
        <v>953</v>
      </c>
      <c r="B618" s="37"/>
      <c r="C618" s="38" t="s">
        <v>6</v>
      </c>
      <c r="D618" s="39" t="s">
        <v>954</v>
      </c>
      <c r="E618" s="39">
        <f>COUNTIF(Questions!D:D,D618)</f>
        <v>2</v>
      </c>
      <c r="F618" s="38"/>
    </row>
    <row r="619" spans="1:6" ht="21.95" customHeight="1" x14ac:dyDescent="0.25">
      <c r="A619" s="37" t="s">
        <v>955</v>
      </c>
      <c r="B619" s="37"/>
      <c r="C619" s="38" t="s">
        <v>6</v>
      </c>
      <c r="D619" s="39" t="s">
        <v>954</v>
      </c>
      <c r="E619" s="39">
        <f>COUNTIF(Questions!D:D,D619)</f>
        <v>2</v>
      </c>
      <c r="F619" s="38"/>
    </row>
    <row r="620" spans="1:6" ht="21.95" customHeight="1" x14ac:dyDescent="0.25">
      <c r="A620" s="16" t="s">
        <v>956</v>
      </c>
      <c r="B620" s="16"/>
      <c r="C620" s="17" t="s">
        <v>101</v>
      </c>
      <c r="D620" s="18" t="s">
        <v>957</v>
      </c>
      <c r="E620" s="18">
        <f>COUNTIF(Questions!D:D,D620)</f>
        <v>2</v>
      </c>
      <c r="F620" s="17"/>
    </row>
    <row r="621" spans="1:6" ht="21.95" customHeight="1" x14ac:dyDescent="0.25">
      <c r="A621" s="16" t="s">
        <v>958</v>
      </c>
      <c r="B621" s="16"/>
      <c r="C621" s="17" t="s">
        <v>101</v>
      </c>
      <c r="D621" s="18" t="s">
        <v>957</v>
      </c>
      <c r="E621" s="18">
        <f>COUNTIF(Questions!D:D,D621)</f>
        <v>2</v>
      </c>
      <c r="F621" s="17"/>
    </row>
    <row r="622" spans="1:6" ht="21.95" customHeight="1" x14ac:dyDescent="0.25">
      <c r="A622" s="16" t="s">
        <v>959</v>
      </c>
      <c r="B622" s="16"/>
      <c r="C622" s="17" t="s">
        <v>101</v>
      </c>
      <c r="D622" s="18" t="s">
        <v>960</v>
      </c>
      <c r="E622" s="18">
        <f>COUNTIF(Questions!D:D,D622)</f>
        <v>2</v>
      </c>
      <c r="F622" s="17"/>
    </row>
    <row r="623" spans="1:6" ht="21.95" customHeight="1" x14ac:dyDescent="0.25">
      <c r="A623" s="16" t="s">
        <v>961</v>
      </c>
      <c r="B623" s="16"/>
      <c r="C623" s="17" t="s">
        <v>101</v>
      </c>
      <c r="D623" s="18" t="s">
        <v>960</v>
      </c>
      <c r="E623" s="18">
        <f>COUNTIF(Questions!D:D,D623)</f>
        <v>2</v>
      </c>
      <c r="F623" s="17">
        <v>23</v>
      </c>
    </row>
    <row r="624" spans="1:6" ht="21.95" customHeight="1" x14ac:dyDescent="0.25">
      <c r="A624" s="25" t="s">
        <v>962</v>
      </c>
      <c r="B624" s="25"/>
      <c r="C624" s="26" t="s">
        <v>6</v>
      </c>
      <c r="D624" s="27" t="s">
        <v>963</v>
      </c>
      <c r="E624" s="27">
        <f>COUNTIF(Questions!D:D,D624)</f>
        <v>2</v>
      </c>
      <c r="F624" s="26"/>
    </row>
    <row r="625" spans="1:9" ht="21.95" customHeight="1" x14ac:dyDescent="0.25">
      <c r="A625" s="25" t="s">
        <v>964</v>
      </c>
      <c r="B625" s="25"/>
      <c r="C625" s="26" t="s">
        <v>115</v>
      </c>
      <c r="D625" s="27" t="s">
        <v>965</v>
      </c>
      <c r="E625" s="27">
        <f>COUNTIF(Questions!D:D,D625)</f>
        <v>2</v>
      </c>
      <c r="F625" s="26"/>
    </row>
    <row r="626" spans="1:9" ht="21.95" customHeight="1" x14ac:dyDescent="0.25">
      <c r="A626" s="25" t="s">
        <v>966</v>
      </c>
      <c r="B626" s="25"/>
      <c r="C626" s="26" t="s">
        <v>6</v>
      </c>
      <c r="D626" s="27" t="s">
        <v>963</v>
      </c>
      <c r="E626" s="27">
        <f>COUNTIF(Questions!D:D,D626)</f>
        <v>2</v>
      </c>
      <c r="F626" s="26"/>
    </row>
    <row r="627" spans="1:9" ht="21.95" customHeight="1" x14ac:dyDescent="0.25">
      <c r="A627" s="25" t="s">
        <v>967</v>
      </c>
      <c r="B627" s="25"/>
      <c r="C627" s="26" t="s">
        <v>115</v>
      </c>
      <c r="D627" s="27" t="s">
        <v>965</v>
      </c>
      <c r="E627" s="27">
        <f>COUNTIF(Questions!D:D,D627)</f>
        <v>2</v>
      </c>
      <c r="F627" s="26"/>
    </row>
    <row r="628" spans="1:9" ht="21.95" customHeight="1" x14ac:dyDescent="0.25">
      <c r="A628" s="52" t="s">
        <v>968</v>
      </c>
      <c r="B628" s="52"/>
      <c r="C628" s="53" t="s">
        <v>50</v>
      </c>
      <c r="D628" s="54" t="s">
        <v>969</v>
      </c>
      <c r="E628" s="54">
        <f>COUNTIF(Questions!D:D,D628)</f>
        <v>2</v>
      </c>
      <c r="F628" s="53"/>
    </row>
    <row r="629" spans="1:9" ht="21.95" customHeight="1" x14ac:dyDescent="0.25">
      <c r="A629" s="52" t="s">
        <v>970</v>
      </c>
      <c r="B629" s="52"/>
      <c r="C629" s="53" t="s">
        <v>50</v>
      </c>
      <c r="D629" s="54" t="s">
        <v>969</v>
      </c>
      <c r="E629" s="54">
        <f>COUNTIF(Questions!D:D,D629)</f>
        <v>2</v>
      </c>
      <c r="F629" s="53"/>
    </row>
    <row r="630" spans="1:9" ht="21.95" customHeight="1" x14ac:dyDescent="0.25">
      <c r="A630" s="52" t="s">
        <v>971</v>
      </c>
      <c r="B630" s="52"/>
      <c r="C630" s="53" t="s">
        <v>50</v>
      </c>
      <c r="D630" s="54" t="s">
        <v>972</v>
      </c>
      <c r="E630" s="54">
        <f>COUNTIF(Questions!D:D,D630)</f>
        <v>2</v>
      </c>
      <c r="F630" s="53"/>
    </row>
    <row r="631" spans="1:9" ht="21.95" customHeight="1" x14ac:dyDescent="0.25">
      <c r="A631" s="52" t="s">
        <v>973</v>
      </c>
      <c r="B631" s="52"/>
      <c r="C631" s="53" t="s">
        <v>50</v>
      </c>
      <c r="D631" s="54" t="s">
        <v>972</v>
      </c>
      <c r="E631" s="54">
        <f>COUNTIF(Questions!D:D,D631)</f>
        <v>2</v>
      </c>
      <c r="F631" s="53">
        <v>23</v>
      </c>
    </row>
    <row r="632" spans="1:9" ht="21.95" customHeight="1" x14ac:dyDescent="0.25">
      <c r="A632" s="6" t="s">
        <v>974</v>
      </c>
      <c r="B632" s="6"/>
      <c r="C632" s="7" t="s">
        <v>14</v>
      </c>
      <c r="D632" s="8" t="s">
        <v>950</v>
      </c>
      <c r="E632" s="8">
        <f>COUNTIF(Questions!D:D,D632)</f>
        <v>2</v>
      </c>
      <c r="F632" s="7"/>
    </row>
    <row r="633" spans="1:9" x14ac:dyDescent="0.25">
      <c r="A633" s="6" t="s">
        <v>975</v>
      </c>
      <c r="B633" s="6"/>
      <c r="C633" s="7" t="s">
        <v>27</v>
      </c>
      <c r="D633" s="8" t="s">
        <v>952</v>
      </c>
      <c r="E633" s="8">
        <f>COUNTIF(Questions!D:D,D633)</f>
        <v>2</v>
      </c>
      <c r="F633" s="7"/>
    </row>
    <row r="634" spans="1:9" x14ac:dyDescent="0.25">
      <c r="A634" s="89" t="s">
        <v>976</v>
      </c>
      <c r="B634" s="6"/>
      <c r="C634" s="90" t="s">
        <v>977</v>
      </c>
      <c r="D634" s="88" t="s">
        <v>1105</v>
      </c>
      <c r="E634" s="8">
        <f>COUNTIF(Questions!D:D,D634)</f>
        <v>2</v>
      </c>
    </row>
    <row r="635" spans="1:9" x14ac:dyDescent="0.25">
      <c r="A635" s="89" t="s">
        <v>1094</v>
      </c>
      <c r="B635" s="6"/>
      <c r="C635" s="90" t="s">
        <v>977</v>
      </c>
      <c r="D635" s="88" t="s">
        <v>1105</v>
      </c>
      <c r="E635" s="8">
        <f>COUNTIF(Questions!D:D,D635)</f>
        <v>2</v>
      </c>
    </row>
    <row r="636" spans="1:9" x14ac:dyDescent="0.25">
      <c r="A636" s="89" t="s">
        <v>978</v>
      </c>
      <c r="B636" s="6"/>
      <c r="C636" s="90" t="s">
        <v>1101</v>
      </c>
      <c r="D636" s="88" t="s">
        <v>979</v>
      </c>
      <c r="E636" s="8">
        <f>COUNTIF(Questions!D:D,D636)</f>
        <v>2</v>
      </c>
      <c r="I636" t="s">
        <v>980</v>
      </c>
    </row>
    <row r="637" spans="1:9" x14ac:dyDescent="0.25">
      <c r="A637" s="89" t="s">
        <v>981</v>
      </c>
      <c r="B637" s="6"/>
      <c r="C637" s="90" t="s">
        <v>1101</v>
      </c>
      <c r="D637" s="88" t="s">
        <v>979</v>
      </c>
      <c r="E637" s="8">
        <f>COUNTIF(Questions!D:D,D637)</f>
        <v>2</v>
      </c>
      <c r="I637" t="s">
        <v>982</v>
      </c>
    </row>
    <row r="638" spans="1:9" x14ac:dyDescent="0.25">
      <c r="A638" s="89" t="s">
        <v>983</v>
      </c>
      <c r="B638" s="6"/>
      <c r="C638" s="90" t="s">
        <v>1101</v>
      </c>
      <c r="D638" s="88" t="s">
        <v>984</v>
      </c>
      <c r="E638" s="8">
        <f>COUNTIF(Questions!D:D,D638)</f>
        <v>2</v>
      </c>
    </row>
    <row r="639" spans="1:9" x14ac:dyDescent="0.25">
      <c r="A639" s="89" t="s">
        <v>985</v>
      </c>
      <c r="B639" s="6"/>
      <c r="C639" s="90" t="s">
        <v>1101</v>
      </c>
      <c r="D639" s="88" t="s">
        <v>984</v>
      </c>
      <c r="E639" s="8">
        <f>COUNTIF(Questions!D:D,D639)</f>
        <v>2</v>
      </c>
      <c r="I639" t="s">
        <v>986</v>
      </c>
    </row>
    <row r="640" spans="1:9" x14ac:dyDescent="0.25">
      <c r="A640" s="89" t="s">
        <v>987</v>
      </c>
      <c r="B640" s="6"/>
      <c r="C640" s="90" t="s">
        <v>1101</v>
      </c>
      <c r="D640" s="88" t="s">
        <v>988</v>
      </c>
      <c r="E640" s="8">
        <f>COUNTIF(Questions!D:D,D640)</f>
        <v>2</v>
      </c>
    </row>
    <row r="641" spans="1:5" x14ac:dyDescent="0.25">
      <c r="A641" s="89" t="s">
        <v>989</v>
      </c>
      <c r="B641" s="6"/>
      <c r="C641" s="90" t="s">
        <v>1101</v>
      </c>
      <c r="D641" s="88" t="s">
        <v>988</v>
      </c>
      <c r="E641" s="8">
        <f>COUNTIF(Questions!D:D,D641)</f>
        <v>2</v>
      </c>
    </row>
    <row r="642" spans="1:5" ht="25.5" x14ac:dyDescent="0.25">
      <c r="A642" s="89" t="s">
        <v>1106</v>
      </c>
      <c r="B642" s="6"/>
      <c r="C642" s="90" t="s">
        <v>977</v>
      </c>
      <c r="D642" s="88" t="s">
        <v>990</v>
      </c>
      <c r="E642" s="8">
        <f>COUNTIF(Questions!D:D,D642)</f>
        <v>2</v>
      </c>
    </row>
    <row r="643" spans="1:5" ht="25.5" x14ac:dyDescent="0.25">
      <c r="A643" s="89" t="s">
        <v>1088</v>
      </c>
      <c r="B643" s="6"/>
      <c r="C643" s="90" t="s">
        <v>977</v>
      </c>
      <c r="D643" s="88" t="s">
        <v>990</v>
      </c>
      <c r="E643" s="8">
        <f>COUNTIF(Questions!D:D,D643)</f>
        <v>2</v>
      </c>
    </row>
    <row r="644" spans="1:5" ht="25.5" x14ac:dyDescent="0.25">
      <c r="A644" s="89" t="s">
        <v>1089</v>
      </c>
      <c r="B644" s="6"/>
      <c r="C644" s="90" t="s">
        <v>977</v>
      </c>
      <c r="D644" s="88" t="s">
        <v>991</v>
      </c>
      <c r="E644" s="8">
        <f>COUNTIF(Questions!D:D,D644)</f>
        <v>2</v>
      </c>
    </row>
    <row r="645" spans="1:5" ht="25.5" x14ac:dyDescent="0.25">
      <c r="A645" s="89" t="s">
        <v>1090</v>
      </c>
      <c r="B645" s="6"/>
      <c r="C645" s="90" t="s">
        <v>977</v>
      </c>
      <c r="D645" s="88" t="s">
        <v>991</v>
      </c>
      <c r="E645" s="8">
        <f>COUNTIF(Questions!D:D,D645)</f>
        <v>2</v>
      </c>
    </row>
    <row r="646" spans="1:5" x14ac:dyDescent="0.25">
      <c r="A646" s="89" t="s">
        <v>1091</v>
      </c>
      <c r="B646" s="6"/>
      <c r="C646" s="90" t="s">
        <v>977</v>
      </c>
      <c r="D646" s="88" t="s">
        <v>992</v>
      </c>
      <c r="E646" s="8">
        <f>COUNTIF(Questions!D:D,D646)</f>
        <v>2</v>
      </c>
    </row>
    <row r="647" spans="1:5" x14ac:dyDescent="0.25">
      <c r="A647" s="89" t="s">
        <v>1092</v>
      </c>
      <c r="B647" s="6"/>
      <c r="C647" s="90" t="s">
        <v>977</v>
      </c>
      <c r="D647" s="88" t="s">
        <v>992</v>
      </c>
      <c r="E647" s="8">
        <f>COUNTIF(Questions!D:D,D647)</f>
        <v>2</v>
      </c>
    </row>
    <row r="648" spans="1:5" ht="25.5" x14ac:dyDescent="0.25">
      <c r="A648" s="89" t="s">
        <v>1093</v>
      </c>
      <c r="B648" s="6"/>
      <c r="C648" s="90" t="s">
        <v>977</v>
      </c>
      <c r="D648" s="88" t="s">
        <v>993</v>
      </c>
      <c r="E648" s="8">
        <f>COUNTIF(Questions!D:D,D648)</f>
        <v>2</v>
      </c>
    </row>
    <row r="649" spans="1:5" ht="25.5" x14ac:dyDescent="0.25">
      <c r="A649" s="89" t="s">
        <v>1087</v>
      </c>
      <c r="B649" s="6"/>
      <c r="C649" s="90" t="s">
        <v>977</v>
      </c>
      <c r="D649" s="88" t="s">
        <v>993</v>
      </c>
      <c r="E649" s="8">
        <f>COUNTIF(Questions!D:D,D649)</f>
        <v>2</v>
      </c>
    </row>
    <row r="650" spans="1:5" ht="25.5" x14ac:dyDescent="0.25">
      <c r="A650" s="89" t="s">
        <v>1107</v>
      </c>
      <c r="B650" s="6"/>
      <c r="C650" s="90" t="s">
        <v>977</v>
      </c>
      <c r="D650" s="88" t="s">
        <v>994</v>
      </c>
      <c r="E650" s="8">
        <f>COUNTIF(Questions!D:D,D650)</f>
        <v>2</v>
      </c>
    </row>
    <row r="651" spans="1:5" ht="25.5" x14ac:dyDescent="0.25">
      <c r="A651" s="89" t="s">
        <v>1108</v>
      </c>
      <c r="B651" s="6"/>
      <c r="C651" s="90" t="s">
        <v>977</v>
      </c>
      <c r="D651" s="88" t="s">
        <v>994</v>
      </c>
      <c r="E651" s="8">
        <f>COUNTIF(Questions!D:D,D651)</f>
        <v>2</v>
      </c>
    </row>
    <row r="652" spans="1:5" ht="25.5" x14ac:dyDescent="0.25">
      <c r="A652" s="89" t="s">
        <v>1109</v>
      </c>
      <c r="B652" s="6"/>
      <c r="C652" s="90" t="s">
        <v>977</v>
      </c>
      <c r="D652" s="88" t="s">
        <v>995</v>
      </c>
      <c r="E652" s="8">
        <f>COUNTIF(Questions!D:D,D652)</f>
        <v>2</v>
      </c>
    </row>
    <row r="653" spans="1:5" x14ac:dyDescent="0.25">
      <c r="A653" s="89" t="s">
        <v>1095</v>
      </c>
      <c r="B653" s="6"/>
      <c r="C653" s="90" t="s">
        <v>977</v>
      </c>
      <c r="D653" s="88" t="s">
        <v>995</v>
      </c>
      <c r="E653" s="8">
        <f>COUNTIF(Questions!D:D,D653)</f>
        <v>2</v>
      </c>
    </row>
    <row r="654" spans="1:5" x14ac:dyDescent="0.25">
      <c r="A654" s="89" t="s">
        <v>996</v>
      </c>
      <c r="B654" s="6"/>
      <c r="C654" s="90" t="s">
        <v>977</v>
      </c>
      <c r="D654" s="88" t="s">
        <v>997</v>
      </c>
      <c r="E654" s="8">
        <f>COUNTIF(Questions!D:D,D654)</f>
        <v>2</v>
      </c>
    </row>
    <row r="655" spans="1:5" x14ac:dyDescent="0.25">
      <c r="A655" s="89" t="s">
        <v>998</v>
      </c>
      <c r="B655" s="6"/>
      <c r="C655" s="90" t="s">
        <v>977</v>
      </c>
      <c r="D655" s="88" t="s">
        <v>997</v>
      </c>
      <c r="E655" s="8">
        <f>COUNTIF(Questions!D:D,D655)</f>
        <v>2</v>
      </c>
    </row>
    <row r="656" spans="1:5" ht="25.5" x14ac:dyDescent="0.25">
      <c r="A656" s="89" t="s">
        <v>1097</v>
      </c>
      <c r="B656" s="6"/>
      <c r="C656" s="90" t="s">
        <v>977</v>
      </c>
      <c r="D656" s="88" t="s">
        <v>999</v>
      </c>
      <c r="E656" s="8">
        <f>COUNTIF(Questions!D:D,D656)</f>
        <v>2</v>
      </c>
    </row>
    <row r="657" spans="1:5" ht="25.5" x14ac:dyDescent="0.25">
      <c r="A657" s="89" t="s">
        <v>1096</v>
      </c>
      <c r="B657" s="6"/>
      <c r="C657" s="90" t="s">
        <v>977</v>
      </c>
      <c r="D657" s="88" t="s">
        <v>999</v>
      </c>
      <c r="E657" s="8">
        <f>COUNTIF(Questions!D:D,D657)</f>
        <v>2</v>
      </c>
    </row>
    <row r="658" spans="1:5" ht="25.5" x14ac:dyDescent="0.25">
      <c r="A658" s="89" t="s">
        <v>1000</v>
      </c>
      <c r="B658" s="6"/>
      <c r="C658" s="90" t="s">
        <v>977</v>
      </c>
      <c r="D658" s="88" t="s">
        <v>1001</v>
      </c>
      <c r="E658" s="8">
        <f>COUNTIF(Questions!D:D,D658)</f>
        <v>2</v>
      </c>
    </row>
    <row r="659" spans="1:5" ht="25.5" x14ac:dyDescent="0.25">
      <c r="A659" s="89" t="s">
        <v>1002</v>
      </c>
      <c r="B659" s="6"/>
      <c r="C659" s="90" t="s">
        <v>977</v>
      </c>
      <c r="D659" s="88" t="s">
        <v>1001</v>
      </c>
      <c r="E659" s="8">
        <f>COUNTIF(Questions!D:D,D659)</f>
        <v>2</v>
      </c>
    </row>
    <row r="660" spans="1:5" x14ac:dyDescent="0.25">
      <c r="A660" s="89" t="s">
        <v>1103</v>
      </c>
      <c r="B660" s="6"/>
      <c r="C660" s="90" t="s">
        <v>1101</v>
      </c>
      <c r="D660" s="88" t="s">
        <v>1104</v>
      </c>
      <c r="E660" s="8">
        <f>COUNTIF(Questions!D:D,D660)</f>
        <v>2</v>
      </c>
    </row>
    <row r="661" spans="1:5" x14ac:dyDescent="0.25">
      <c r="A661" s="89" t="s">
        <v>1102</v>
      </c>
      <c r="B661" s="6"/>
      <c r="C661" s="90" t="s">
        <v>1101</v>
      </c>
      <c r="D661" s="88" t="s">
        <v>1104</v>
      </c>
      <c r="E661" s="8">
        <f>COUNTIF(Questions!D:D,D661)</f>
        <v>2</v>
      </c>
    </row>
    <row r="662" spans="1:5" ht="25.5" x14ac:dyDescent="0.25">
      <c r="A662" s="89" t="s">
        <v>1003</v>
      </c>
      <c r="B662" s="6"/>
      <c r="C662" s="90" t="s">
        <v>1101</v>
      </c>
      <c r="D662" s="88" t="s">
        <v>1004</v>
      </c>
      <c r="E662" s="8">
        <f>COUNTIF(Questions!D:D,D662)</f>
        <v>2</v>
      </c>
    </row>
    <row r="663" spans="1:5" x14ac:dyDescent="0.25">
      <c r="A663" s="89" t="s">
        <v>1098</v>
      </c>
      <c r="B663" s="6"/>
      <c r="C663" s="90" t="s">
        <v>1101</v>
      </c>
      <c r="D663" s="88" t="s">
        <v>1004</v>
      </c>
      <c r="E663" s="8">
        <f>COUNTIF(Questions!D:D,D663)</f>
        <v>2</v>
      </c>
    </row>
    <row r="664" spans="1:5" x14ac:dyDescent="0.25">
      <c r="A664" s="89" t="s">
        <v>1005</v>
      </c>
      <c r="B664" s="6"/>
      <c r="C664" s="90" t="s">
        <v>1101</v>
      </c>
      <c r="D664" s="88" t="s">
        <v>1006</v>
      </c>
      <c r="E664" s="8">
        <f>COUNTIF(Questions!D:D,D664)</f>
        <v>2</v>
      </c>
    </row>
    <row r="665" spans="1:5" x14ac:dyDescent="0.25">
      <c r="A665" s="89" t="s">
        <v>1099</v>
      </c>
      <c r="B665" s="6"/>
      <c r="C665" s="90" t="s">
        <v>1101</v>
      </c>
      <c r="D665" s="88" t="s">
        <v>1006</v>
      </c>
      <c r="E665" s="8">
        <f>COUNTIF(Questions!D:D,D665)</f>
        <v>2</v>
      </c>
    </row>
    <row r="666" spans="1:5" ht="25.5" x14ac:dyDescent="0.25">
      <c r="A666" s="89" t="s">
        <v>1007</v>
      </c>
      <c r="B666" s="6"/>
      <c r="C666" s="90" t="s">
        <v>1101</v>
      </c>
      <c r="D666" s="88" t="s">
        <v>1008</v>
      </c>
      <c r="E666" s="8">
        <f>COUNTIF(Questions!D:D,D666)</f>
        <v>2</v>
      </c>
    </row>
    <row r="667" spans="1:5" x14ac:dyDescent="0.25">
      <c r="A667" s="89" t="s">
        <v>1009</v>
      </c>
      <c r="B667" s="6"/>
      <c r="C667" s="90" t="s">
        <v>1101</v>
      </c>
      <c r="D667" s="88" t="s">
        <v>1008</v>
      </c>
      <c r="E667" s="8">
        <f>COUNTIF(Questions!D:D,D667)</f>
        <v>2</v>
      </c>
    </row>
    <row r="668" spans="1:5" x14ac:dyDescent="0.25">
      <c r="A668" s="89" t="s">
        <v>1010</v>
      </c>
      <c r="B668" s="6"/>
      <c r="C668" s="90" t="s">
        <v>1101</v>
      </c>
      <c r="D668" s="88" t="s">
        <v>1114</v>
      </c>
      <c r="E668" s="8">
        <f>COUNTIF(Questions!D:D,D668)</f>
        <v>2</v>
      </c>
    </row>
    <row r="669" spans="1:5" x14ac:dyDescent="0.25">
      <c r="A669" s="89" t="s">
        <v>1113</v>
      </c>
      <c r="B669" s="6"/>
      <c r="C669" s="90" t="s">
        <v>1101</v>
      </c>
      <c r="D669" s="88" t="s">
        <v>1114</v>
      </c>
      <c r="E669" s="8">
        <f>COUNTIF(Questions!D:D,D669)</f>
        <v>2</v>
      </c>
    </row>
    <row r="670" spans="1:5" x14ac:dyDescent="0.25">
      <c r="A670" s="89" t="s">
        <v>1100</v>
      </c>
      <c r="B670" s="6"/>
      <c r="C670" s="90" t="s">
        <v>1101</v>
      </c>
      <c r="D670" s="88" t="s">
        <v>1011</v>
      </c>
      <c r="E670" s="8">
        <f>COUNTIF(Questions!D:D,D670)</f>
        <v>2</v>
      </c>
    </row>
    <row r="671" spans="1:5" x14ac:dyDescent="0.25">
      <c r="A671" s="89" t="s">
        <v>1012</v>
      </c>
      <c r="B671" s="6"/>
      <c r="C671" s="90" t="s">
        <v>1101</v>
      </c>
      <c r="D671" s="88" t="s">
        <v>1011</v>
      </c>
      <c r="E671" s="8">
        <f>COUNTIF(Questions!D:D,D671)</f>
        <v>2</v>
      </c>
    </row>
    <row r="672" spans="1:5" x14ac:dyDescent="0.25">
      <c r="A672" s="89" t="s">
        <v>1112</v>
      </c>
      <c r="B672" s="6"/>
      <c r="C672" s="90" t="s">
        <v>1101</v>
      </c>
      <c r="D672" s="88" t="s">
        <v>1110</v>
      </c>
      <c r="E672" s="8">
        <f>COUNTIF(Questions!D:D,D672)</f>
        <v>2</v>
      </c>
    </row>
    <row r="673" spans="1:5" x14ac:dyDescent="0.25">
      <c r="A673" s="89" t="s">
        <v>1111</v>
      </c>
      <c r="B673" s="6"/>
      <c r="C673" s="90" t="s">
        <v>1101</v>
      </c>
      <c r="D673" s="88" t="s">
        <v>1110</v>
      </c>
      <c r="E673" s="8">
        <f>COUNTIF(Questions!D:D,D673)</f>
        <v>2</v>
      </c>
    </row>
  </sheetData>
  <autoFilter ref="A1:F673" xr:uid="{00000000-0009-0000-0000-000000000000}">
    <sortState xmlns:xlrd2="http://schemas.microsoft.com/office/spreadsheetml/2017/richdata2" ref="A44:F627">
      <sortCondition ref="D1:D6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4"/>
  <sheetViews>
    <sheetView zoomScale="96" workbookViewId="0">
      <selection activeCell="G5" sqref="G5"/>
    </sheetView>
  </sheetViews>
  <sheetFormatPr baseColWidth="10" defaultRowHeight="15" x14ac:dyDescent="0.25"/>
  <cols>
    <col min="1" max="1" width="28" customWidth="1"/>
    <col min="2" max="2" width="19.140625" customWidth="1"/>
    <col min="13" max="13" width="28" customWidth="1"/>
  </cols>
  <sheetData>
    <row r="1" spans="1:17" x14ac:dyDescent="0.25">
      <c r="A1" s="3" t="s">
        <v>1013</v>
      </c>
      <c r="B1" s="3" t="s">
        <v>1014</v>
      </c>
      <c r="M1" s="4" t="s">
        <v>1015</v>
      </c>
    </row>
    <row r="2" spans="1:17" x14ac:dyDescent="0.25">
      <c r="A2" s="7" t="s">
        <v>27</v>
      </c>
      <c r="B2" t="s">
        <v>1016</v>
      </c>
      <c r="C2">
        <f>COUNTIF(Questions!C:C,Nombre!A2)</f>
        <v>48</v>
      </c>
      <c r="E2" t="s">
        <v>1016</v>
      </c>
      <c r="F2">
        <f>COUNTIF(B:B,"DEEP")</f>
        <v>4</v>
      </c>
      <c r="G2">
        <f>SUMIF(B:B,E2,C:C)</f>
        <v>222</v>
      </c>
      <c r="M2" s="45" t="s">
        <v>21</v>
      </c>
      <c r="N2">
        <f>COUNTIF(Questions!D:D,Nombre!M2)</f>
        <v>2</v>
      </c>
      <c r="Q2" t="s">
        <v>1017</v>
      </c>
    </row>
    <row r="3" spans="1:17" x14ac:dyDescent="0.25">
      <c r="A3" s="14" t="s">
        <v>43</v>
      </c>
      <c r="B3" t="s">
        <v>1018</v>
      </c>
      <c r="C3">
        <f>COUNTIF(Questions!C:C,Nombre!A3)</f>
        <v>40</v>
      </c>
      <c r="E3" t="s">
        <v>1018</v>
      </c>
      <c r="F3">
        <f>COUNTIF(B:B,"FUN")</f>
        <v>5</v>
      </c>
      <c r="G3">
        <f>SUMIF(B:B,E3,C:C)</f>
        <v>168</v>
      </c>
      <c r="M3" s="48" t="s">
        <v>24</v>
      </c>
      <c r="N3">
        <f>COUNTIF(Questions!D:D,Nombre!M86)</f>
        <v>0</v>
      </c>
      <c r="Q3" t="s">
        <v>2</v>
      </c>
    </row>
    <row r="4" spans="1:17" x14ac:dyDescent="0.25">
      <c r="A4" s="17" t="s">
        <v>101</v>
      </c>
      <c r="B4" t="s">
        <v>1018</v>
      </c>
      <c r="C4">
        <f>COUNTIF(Questions!C:C,Nombre!A4)</f>
        <v>16</v>
      </c>
      <c r="E4" t="s">
        <v>1019</v>
      </c>
      <c r="F4">
        <f>COUNTIF(B:B,"ICEBREAKERS")</f>
        <v>6</v>
      </c>
      <c r="G4">
        <f>SUMIF(B:B,E4,C:C)</f>
        <v>282</v>
      </c>
      <c r="M4" s="48" t="s">
        <v>1020</v>
      </c>
      <c r="N4">
        <f>COUNTIF(Questions!D:D,Nombre!M85)</f>
        <v>2</v>
      </c>
      <c r="Q4" t="s">
        <v>3</v>
      </c>
    </row>
    <row r="5" spans="1:17" x14ac:dyDescent="0.25">
      <c r="A5" s="20" t="s">
        <v>35</v>
      </c>
      <c r="B5" t="s">
        <v>1019</v>
      </c>
      <c r="C5">
        <f>COUNTIF(Questions!C:C,Nombre!A5)</f>
        <v>38</v>
      </c>
      <c r="M5" s="8" t="s">
        <v>28</v>
      </c>
      <c r="N5">
        <f>COUNTIF(Questions!D:D,Nombre!M3)</f>
        <v>2</v>
      </c>
    </row>
    <row r="6" spans="1:17" x14ac:dyDescent="0.25">
      <c r="A6" s="23" t="s">
        <v>10</v>
      </c>
      <c r="B6" t="s">
        <v>1018</v>
      </c>
      <c r="C6">
        <f>COUNTIF(Questions!C:C,Nombre!A6)</f>
        <v>40</v>
      </c>
      <c r="M6" s="39" t="s">
        <v>32</v>
      </c>
      <c r="N6">
        <f>COUNTIF(Questions!D:D,Nombre!M4)</f>
        <v>0</v>
      </c>
    </row>
    <row r="7" spans="1:17" x14ac:dyDescent="0.25">
      <c r="A7" s="26" t="s">
        <v>115</v>
      </c>
      <c r="B7" t="s">
        <v>1016</v>
      </c>
      <c r="C7">
        <f>COUNTIF(Questions!C:C,Nombre!A7)</f>
        <v>76</v>
      </c>
      <c r="H7" t="s">
        <v>27</v>
      </c>
      <c r="M7" s="39" t="s">
        <v>36</v>
      </c>
      <c r="N7">
        <f>COUNTIF(Questions!D:D,Nombre!M5)</f>
        <v>2</v>
      </c>
    </row>
    <row r="8" spans="1:17" x14ac:dyDescent="0.25">
      <c r="A8" s="29" t="s">
        <v>94</v>
      </c>
      <c r="B8" t="s">
        <v>1018</v>
      </c>
      <c r="C8">
        <f>COUNTIF(Questions!C:C,Nombre!A8)</f>
        <v>52</v>
      </c>
      <c r="H8" t="s">
        <v>1021</v>
      </c>
      <c r="M8" s="27" t="s">
        <v>40</v>
      </c>
      <c r="N8">
        <f>COUNTIF(Questions!D:D,Nombre!M6)</f>
        <v>2</v>
      </c>
    </row>
    <row r="9" spans="1:17" x14ac:dyDescent="0.25">
      <c r="A9" s="38" t="s">
        <v>31</v>
      </c>
      <c r="B9" t="s">
        <v>1019</v>
      </c>
      <c r="C9">
        <f>COUNTIF(Questions!C:C,Nombre!A9)</f>
        <v>74</v>
      </c>
      <c r="M9" s="15" t="s">
        <v>44</v>
      </c>
      <c r="N9">
        <f>COUNTIF(Questions!D:D,Nombre!M7)</f>
        <v>2</v>
      </c>
    </row>
    <row r="10" spans="1:17" x14ac:dyDescent="0.25">
      <c r="A10" s="41" t="s">
        <v>78</v>
      </c>
      <c r="B10" t="s">
        <v>1019</v>
      </c>
      <c r="C10">
        <f>COUNTIF(Questions!C:C,Nombre!A10)</f>
        <v>34</v>
      </c>
      <c r="M10" s="15" t="s">
        <v>929</v>
      </c>
      <c r="N10">
        <f>COUNTIF(Questions!D:D,Nombre!M8)</f>
        <v>2</v>
      </c>
    </row>
    <row r="11" spans="1:17" x14ac:dyDescent="0.25">
      <c r="A11" s="44" t="s">
        <v>6</v>
      </c>
      <c r="B11" t="s">
        <v>1019</v>
      </c>
      <c r="C11">
        <f>COUNTIF(Questions!C:C,Nombre!A11)</f>
        <v>78</v>
      </c>
      <c r="M11" s="15" t="s">
        <v>47</v>
      </c>
      <c r="N11">
        <f>COUNTIF(Questions!D:D,Nombre!M9)</f>
        <v>2</v>
      </c>
    </row>
    <row r="12" spans="1:17" x14ac:dyDescent="0.25">
      <c r="A12" s="47" t="s">
        <v>14</v>
      </c>
      <c r="B12" t="s">
        <v>1016</v>
      </c>
      <c r="C12">
        <f>COUNTIF(Questions!C:C,Nombre!A12)</f>
        <v>42</v>
      </c>
      <c r="M12" s="54" t="s">
        <v>51</v>
      </c>
      <c r="N12">
        <f>COUNTIF(Questions!D:D,Nombre!M10)</f>
        <v>2</v>
      </c>
    </row>
    <row r="13" spans="1:17" x14ac:dyDescent="0.25">
      <c r="A13" s="50" t="s">
        <v>39</v>
      </c>
      <c r="B13" t="s">
        <v>1019</v>
      </c>
      <c r="C13">
        <f>COUNTIF(Questions!C:C,Nombre!A13)</f>
        <v>38</v>
      </c>
      <c r="M13" s="39" t="s">
        <v>54</v>
      </c>
      <c r="N13">
        <f>COUNTIF(Questions!D:D,Nombre!M11)</f>
        <v>2</v>
      </c>
    </row>
    <row r="14" spans="1:17" x14ac:dyDescent="0.25">
      <c r="A14" s="53" t="s">
        <v>50</v>
      </c>
      <c r="B14" t="s">
        <v>1016</v>
      </c>
      <c r="C14">
        <f>COUNTIF(Questions!C:C,Nombre!A14)</f>
        <v>56</v>
      </c>
      <c r="M14" s="39" t="s">
        <v>57</v>
      </c>
      <c r="N14">
        <f>COUNTIF(Questions!D:D,Nombre!M12)</f>
        <v>2</v>
      </c>
    </row>
    <row r="15" spans="1:17" x14ac:dyDescent="0.25">
      <c r="A15" s="44" t="s">
        <v>977</v>
      </c>
      <c r="B15" t="s">
        <v>1019</v>
      </c>
      <c r="C15">
        <f>COUNTIF(Questions!C:C,Nombre!A15)</f>
        <v>20</v>
      </c>
      <c r="M15" s="21" t="s">
        <v>60</v>
      </c>
      <c r="N15">
        <f>COUNTIF(Questions!D:D,Nombre!M13)</f>
        <v>2</v>
      </c>
    </row>
    <row r="16" spans="1:17" x14ac:dyDescent="0.25">
      <c r="A16" s="50" t="s">
        <v>1101</v>
      </c>
      <c r="B16" t="s">
        <v>1018</v>
      </c>
      <c r="C16">
        <f>COUNTIF(Questions!C:C,Nombre!A16)</f>
        <v>20</v>
      </c>
      <c r="M16" s="45" t="s">
        <v>63</v>
      </c>
      <c r="N16">
        <f>COUNTIF(Questions!D:D,Nombre!M14)</f>
        <v>2</v>
      </c>
    </row>
    <row r="17" spans="3:14" x14ac:dyDescent="0.25">
      <c r="C17">
        <f>COUNTIF(Questions!A2:A647,"")</f>
        <v>0</v>
      </c>
      <c r="M17" s="24" t="s">
        <v>66</v>
      </c>
      <c r="N17">
        <f>COUNTIF(Questions!D:D,Nombre!M15)</f>
        <v>2</v>
      </c>
    </row>
    <row r="18" spans="3:14" x14ac:dyDescent="0.25">
      <c r="C18">
        <f>SUM(C2:C17)</f>
        <v>672</v>
      </c>
      <c r="M18" s="39" t="s">
        <v>69</v>
      </c>
      <c r="N18">
        <f>COUNTIF(Questions!D:D,Nombre!M16)</f>
        <v>2</v>
      </c>
    </row>
    <row r="19" spans="3:14" x14ac:dyDescent="0.25">
      <c r="M19" s="39" t="s">
        <v>72</v>
      </c>
      <c r="N19">
        <f>COUNTIF(Questions!D:D,Nombre!M17)</f>
        <v>2</v>
      </c>
    </row>
    <row r="20" spans="3:14" x14ac:dyDescent="0.25">
      <c r="M20" s="8" t="s">
        <v>75</v>
      </c>
      <c r="N20">
        <f>COUNTIF(Questions!D:D,Nombre!M18)</f>
        <v>2</v>
      </c>
    </row>
    <row r="21" spans="3:14" x14ac:dyDescent="0.25">
      <c r="M21" s="27" t="s">
        <v>79</v>
      </c>
      <c r="N21">
        <f>COUNTIF(Questions!D:D,Nombre!M19)</f>
        <v>2</v>
      </c>
    </row>
    <row r="22" spans="3:14" x14ac:dyDescent="0.25">
      <c r="M22" s="54" t="s">
        <v>82</v>
      </c>
      <c r="N22">
        <f>COUNTIF(Questions!D:D,Nombre!M20)</f>
        <v>2</v>
      </c>
    </row>
    <row r="23" spans="3:14" x14ac:dyDescent="0.25">
      <c r="M23" s="45" t="s">
        <v>85</v>
      </c>
      <c r="N23">
        <f>COUNTIF(Questions!D:D,Nombre!M21)</f>
        <v>2</v>
      </c>
    </row>
    <row r="24" spans="3:14" x14ac:dyDescent="0.25">
      <c r="M24" s="8" t="s">
        <v>950</v>
      </c>
      <c r="N24">
        <f>COUNTIF(Questions!D:D,Nombre!M22)</f>
        <v>2</v>
      </c>
    </row>
    <row r="25" spans="3:14" x14ac:dyDescent="0.25">
      <c r="M25" s="39" t="s">
        <v>88</v>
      </c>
      <c r="N25">
        <f>COUNTIF(Questions!D:D,Nombre!M23)</f>
        <v>2</v>
      </c>
    </row>
    <row r="26" spans="3:14" x14ac:dyDescent="0.25">
      <c r="M26" s="8" t="s">
        <v>91</v>
      </c>
      <c r="N26">
        <f>COUNTIF(Questions!D:D,Nombre!M24)</f>
        <v>2</v>
      </c>
    </row>
    <row r="27" spans="3:14" x14ac:dyDescent="0.25">
      <c r="M27" s="30" t="s">
        <v>95</v>
      </c>
      <c r="N27">
        <f>COUNTIF(Questions!D:D,Nombre!M25)</f>
        <v>2</v>
      </c>
    </row>
    <row r="28" spans="3:14" x14ac:dyDescent="0.25">
      <c r="M28" s="30" t="s">
        <v>98</v>
      </c>
      <c r="N28">
        <f>COUNTIF(Questions!D:D,Nombre!M27)</f>
        <v>2</v>
      </c>
    </row>
    <row r="29" spans="3:14" x14ac:dyDescent="0.25">
      <c r="M29" s="18" t="s">
        <v>102</v>
      </c>
      <c r="N29">
        <f>COUNTIF(Questions!D:D,Nombre!M28)</f>
        <v>2</v>
      </c>
    </row>
    <row r="30" spans="3:14" x14ac:dyDescent="0.25">
      <c r="M30" s="45" t="s">
        <v>105</v>
      </c>
      <c r="N30">
        <f>COUNTIF(Questions!D:D,Nombre!M29)</f>
        <v>2</v>
      </c>
    </row>
    <row r="31" spans="3:14" x14ac:dyDescent="0.25">
      <c r="M31" s="54" t="s">
        <v>108</v>
      </c>
      <c r="N31">
        <f>COUNTIF(Questions!D:D,Nombre!M30)</f>
        <v>2</v>
      </c>
    </row>
    <row r="32" spans="3:14" x14ac:dyDescent="0.25">
      <c r="M32" s="45" t="s">
        <v>112</v>
      </c>
      <c r="N32">
        <f>COUNTIF(Questions!D:D,Nombre!M31)</f>
        <v>2</v>
      </c>
    </row>
    <row r="33" spans="13:14" x14ac:dyDescent="0.25">
      <c r="M33" s="27" t="s">
        <v>1022</v>
      </c>
      <c r="N33">
        <f>COUNTIF(Questions!D:D,Nombre!M32)</f>
        <v>2</v>
      </c>
    </row>
    <row r="34" spans="13:14" x14ac:dyDescent="0.25">
      <c r="M34" s="27" t="s">
        <v>119</v>
      </c>
      <c r="N34">
        <f>COUNTIF(Questions!D:D,Nombre!M33)</f>
        <v>0</v>
      </c>
    </row>
    <row r="35" spans="13:14" x14ac:dyDescent="0.25">
      <c r="M35" s="27" t="s">
        <v>116</v>
      </c>
      <c r="N35">
        <f>COUNTIF(Questions!D:D,Nombre!M34)</f>
        <v>2</v>
      </c>
    </row>
    <row r="36" spans="13:14" x14ac:dyDescent="0.25">
      <c r="M36" s="24" t="s">
        <v>129</v>
      </c>
      <c r="N36">
        <f>COUNTIF(Questions!D:D,Nombre!M35)</f>
        <v>2</v>
      </c>
    </row>
    <row r="37" spans="13:14" x14ac:dyDescent="0.25">
      <c r="M37" s="48" t="s">
        <v>132</v>
      </c>
      <c r="N37">
        <f>COUNTIF(Questions!D:D,Nombre!M36)</f>
        <v>2</v>
      </c>
    </row>
    <row r="38" spans="13:14" x14ac:dyDescent="0.25">
      <c r="M38" s="27" t="s">
        <v>122</v>
      </c>
      <c r="N38">
        <f>COUNTIF(Questions!D:D,Nombre!M37)</f>
        <v>2</v>
      </c>
    </row>
    <row r="39" spans="13:14" x14ac:dyDescent="0.25">
      <c r="M39" s="33" t="s">
        <v>138</v>
      </c>
      <c r="N39">
        <f>COUNTIF(Questions!D:D,Nombre!M38)</f>
        <v>2</v>
      </c>
    </row>
    <row r="40" spans="13:14" x14ac:dyDescent="0.25">
      <c r="M40" s="27" t="s">
        <v>141</v>
      </c>
      <c r="N40">
        <f>COUNTIF(Questions!D:D,Nombre!M39)</f>
        <v>2</v>
      </c>
    </row>
    <row r="41" spans="13:14" x14ac:dyDescent="0.25">
      <c r="M41" s="36" t="s">
        <v>144</v>
      </c>
      <c r="N41">
        <f>COUNTIF(Questions!D:D,Nombre!M40)</f>
        <v>2</v>
      </c>
    </row>
    <row r="42" spans="13:14" x14ac:dyDescent="0.25">
      <c r="M42" s="36" t="s">
        <v>147</v>
      </c>
      <c r="N42">
        <f>COUNTIF(Questions!D:D,Nombre!M41)</f>
        <v>2</v>
      </c>
    </row>
    <row r="43" spans="13:14" x14ac:dyDescent="0.25">
      <c r="M43" s="27" t="s">
        <v>135</v>
      </c>
      <c r="N43">
        <f>COUNTIF(Questions!D:D,Nombre!M42)</f>
        <v>2</v>
      </c>
    </row>
    <row r="44" spans="13:14" x14ac:dyDescent="0.25">
      <c r="M44" s="21" t="s">
        <v>153</v>
      </c>
      <c r="N44">
        <f>COUNTIF(Questions!D:D,Nombre!M43)</f>
        <v>2</v>
      </c>
    </row>
    <row r="45" spans="13:14" x14ac:dyDescent="0.25">
      <c r="M45" s="30" t="s">
        <v>150</v>
      </c>
      <c r="N45">
        <f>COUNTIF(Questions!D:D,Nombre!M44)</f>
        <v>2</v>
      </c>
    </row>
    <row r="46" spans="13:14" x14ac:dyDescent="0.25">
      <c r="M46" s="39" t="s">
        <v>1023</v>
      </c>
      <c r="N46">
        <f>COUNTIF(Questions!D:D,Nombre!M45)</f>
        <v>2</v>
      </c>
    </row>
    <row r="47" spans="13:14" x14ac:dyDescent="0.25">
      <c r="M47" s="45" t="s">
        <v>162</v>
      </c>
      <c r="N47">
        <f>COUNTIF(Questions!D:D,Nombre!M46)</f>
        <v>0</v>
      </c>
    </row>
    <row r="48" spans="13:14" x14ac:dyDescent="0.25">
      <c r="M48" s="39" t="s">
        <v>1024</v>
      </c>
      <c r="N48">
        <f>COUNTIF(Questions!D:D,Nombre!M47)</f>
        <v>2</v>
      </c>
    </row>
    <row r="49" spans="13:14" x14ac:dyDescent="0.25">
      <c r="M49" s="42" t="s">
        <v>169</v>
      </c>
      <c r="N49">
        <f>COUNTIF(Questions!D:D,Nombre!M48)</f>
        <v>0</v>
      </c>
    </row>
    <row r="50" spans="13:14" x14ac:dyDescent="0.25">
      <c r="M50" s="42" t="s">
        <v>172</v>
      </c>
      <c r="N50">
        <f>COUNTIF(Questions!D:D,Nombre!M49)</f>
        <v>2</v>
      </c>
    </row>
    <row r="51" spans="13:14" x14ac:dyDescent="0.25">
      <c r="M51" s="54" t="s">
        <v>175</v>
      </c>
      <c r="N51">
        <f>COUNTIF(Questions!D:D,Nombre!M50)</f>
        <v>2</v>
      </c>
    </row>
    <row r="52" spans="13:14" x14ac:dyDescent="0.25">
      <c r="M52" s="18" t="s">
        <v>1025</v>
      </c>
      <c r="N52">
        <f>COUNTIF(Questions!D:D,Nombre!M51)</f>
        <v>2</v>
      </c>
    </row>
    <row r="53" spans="13:14" x14ac:dyDescent="0.25">
      <c r="M53" s="36" t="s">
        <v>181</v>
      </c>
      <c r="N53">
        <f>COUNTIF(Questions!D:D,Nombre!M52)</f>
        <v>0</v>
      </c>
    </row>
    <row r="54" spans="13:14" x14ac:dyDescent="0.25">
      <c r="M54" s="42" t="s">
        <v>1026</v>
      </c>
      <c r="N54">
        <f>COUNTIF(Questions!D:D,Nombre!M53)</f>
        <v>2</v>
      </c>
    </row>
    <row r="55" spans="13:14" x14ac:dyDescent="0.25">
      <c r="M55" s="30" t="s">
        <v>187</v>
      </c>
      <c r="N55">
        <f>COUNTIF(Questions!D:D,Nombre!M54)</f>
        <v>0</v>
      </c>
    </row>
    <row r="56" spans="13:14" x14ac:dyDescent="0.25">
      <c r="M56" s="18" t="s">
        <v>1027</v>
      </c>
      <c r="N56">
        <f>COUNTIF(Questions!D:D,Nombre!M55)</f>
        <v>2</v>
      </c>
    </row>
    <row r="57" spans="13:14" x14ac:dyDescent="0.25">
      <c r="M57" s="48" t="s">
        <v>1028</v>
      </c>
      <c r="N57">
        <f>COUNTIF(Questions!D:D,Nombre!M56)</f>
        <v>0</v>
      </c>
    </row>
    <row r="58" spans="13:14" x14ac:dyDescent="0.25">
      <c r="M58" s="39" t="s">
        <v>196</v>
      </c>
      <c r="N58">
        <f>COUNTIF(Questions!D:D,Nombre!M57)</f>
        <v>0</v>
      </c>
    </row>
    <row r="59" spans="13:14" x14ac:dyDescent="0.25">
      <c r="M59" s="42" t="s">
        <v>199</v>
      </c>
      <c r="N59">
        <f>COUNTIF(Questions!D:D,Nombre!M58)</f>
        <v>2</v>
      </c>
    </row>
    <row r="60" spans="13:14" x14ac:dyDescent="0.25">
      <c r="M60" s="42" t="s">
        <v>202</v>
      </c>
      <c r="N60">
        <f>COUNTIF(Questions!D:D,Nombre!M59)</f>
        <v>2</v>
      </c>
    </row>
    <row r="61" spans="13:14" x14ac:dyDescent="0.25">
      <c r="M61" s="42" t="s">
        <v>205</v>
      </c>
      <c r="N61">
        <f>COUNTIF(Questions!D:D,Nombre!M60)</f>
        <v>2</v>
      </c>
    </row>
    <row r="62" spans="13:14" x14ac:dyDescent="0.25">
      <c r="M62" s="30" t="s">
        <v>208</v>
      </c>
      <c r="N62">
        <f>COUNTIF(Questions!D:D,Nombre!M61)</f>
        <v>2</v>
      </c>
    </row>
    <row r="63" spans="13:14" x14ac:dyDescent="0.25">
      <c r="M63" s="45" t="s">
        <v>211</v>
      </c>
      <c r="N63">
        <f>COUNTIF(Questions!D:D,Nombre!M62)</f>
        <v>2</v>
      </c>
    </row>
    <row r="64" spans="13:14" x14ac:dyDescent="0.25">
      <c r="M64" s="39" t="s">
        <v>214</v>
      </c>
      <c r="N64">
        <f>COUNTIF(Questions!D:D,Nombre!M63)</f>
        <v>2</v>
      </c>
    </row>
    <row r="65" spans="13:14" x14ac:dyDescent="0.25">
      <c r="M65" s="45" t="s">
        <v>217</v>
      </c>
      <c r="N65">
        <f>COUNTIF(Questions!D:D,Nombre!M64)</f>
        <v>2</v>
      </c>
    </row>
    <row r="66" spans="13:14" x14ac:dyDescent="0.25">
      <c r="M66" s="42" t="s">
        <v>220</v>
      </c>
      <c r="N66">
        <f>COUNTIF(Questions!D:D,Nombre!M65)</f>
        <v>2</v>
      </c>
    </row>
    <row r="67" spans="13:14" x14ac:dyDescent="0.25">
      <c r="M67" s="42" t="s">
        <v>1029</v>
      </c>
      <c r="N67">
        <f>COUNTIF(Questions!D:D,Nombre!M66)</f>
        <v>2</v>
      </c>
    </row>
    <row r="68" spans="13:14" x14ac:dyDescent="0.25">
      <c r="M68" s="39" t="s">
        <v>226</v>
      </c>
      <c r="N68">
        <f>COUNTIF(Questions!D:D,Nombre!M67)</f>
        <v>0</v>
      </c>
    </row>
    <row r="69" spans="13:14" x14ac:dyDescent="0.25">
      <c r="M69" s="45" t="s">
        <v>229</v>
      </c>
      <c r="N69">
        <f>COUNTIF(Questions!D:D,Nombre!M68)</f>
        <v>2</v>
      </c>
    </row>
    <row r="70" spans="13:14" x14ac:dyDescent="0.25">
      <c r="M70" s="33" t="s">
        <v>232</v>
      </c>
      <c r="N70">
        <f>COUNTIF(Questions!D:D,Nombre!M69)</f>
        <v>2</v>
      </c>
    </row>
    <row r="71" spans="13:14" x14ac:dyDescent="0.25">
      <c r="M71" s="33" t="s">
        <v>235</v>
      </c>
      <c r="N71">
        <f>COUNTIF(Questions!D:D,Nombre!M70)</f>
        <v>2</v>
      </c>
    </row>
    <row r="72" spans="13:14" x14ac:dyDescent="0.25">
      <c r="M72" s="39" t="s">
        <v>238</v>
      </c>
      <c r="N72">
        <f>COUNTIF(Questions!D:D,Nombre!M71)</f>
        <v>2</v>
      </c>
    </row>
    <row r="73" spans="13:14" x14ac:dyDescent="0.25">
      <c r="M73" s="42" t="s">
        <v>241</v>
      </c>
      <c r="N73">
        <f>COUNTIF(Questions!D:D,Nombre!M72)</f>
        <v>2</v>
      </c>
    </row>
    <row r="74" spans="13:14" x14ac:dyDescent="0.25">
      <c r="M74" s="30" t="s">
        <v>244</v>
      </c>
      <c r="N74">
        <f>COUNTIF(Questions!D:D,Nombre!M73)</f>
        <v>2</v>
      </c>
    </row>
    <row r="75" spans="13:14" x14ac:dyDescent="0.25">
      <c r="M75" s="8" t="s">
        <v>251</v>
      </c>
      <c r="N75">
        <f>COUNTIF(Questions!D:D,Nombre!M74)</f>
        <v>2</v>
      </c>
    </row>
    <row r="76" spans="13:14" x14ac:dyDescent="0.25">
      <c r="M76" s="18" t="s">
        <v>1030</v>
      </c>
      <c r="N76">
        <f>COUNTIF(Questions!D:D,Nombre!M75)</f>
        <v>2</v>
      </c>
    </row>
    <row r="77" spans="13:14" x14ac:dyDescent="0.25">
      <c r="M77" s="27" t="s">
        <v>255</v>
      </c>
      <c r="N77">
        <f>COUNTIF(Questions!D:D,Nombre!M76)</f>
        <v>0</v>
      </c>
    </row>
    <row r="78" spans="13:14" x14ac:dyDescent="0.25">
      <c r="M78" s="27" t="s">
        <v>258</v>
      </c>
      <c r="N78">
        <f>COUNTIF(Questions!D:D,Nombre!M78)</f>
        <v>2</v>
      </c>
    </row>
    <row r="79" spans="13:14" x14ac:dyDescent="0.25">
      <c r="M79" s="8" t="s">
        <v>261</v>
      </c>
      <c r="N79">
        <f>COUNTIF(Questions!D:D,Nombre!M79)</f>
        <v>2</v>
      </c>
    </row>
    <row r="80" spans="13:14" x14ac:dyDescent="0.25">
      <c r="M80" s="42" t="s">
        <v>264</v>
      </c>
      <c r="N80">
        <f>COUNTIF(Questions!D:D,Nombre!M80)</f>
        <v>2</v>
      </c>
    </row>
    <row r="81" spans="13:14" x14ac:dyDescent="0.25">
      <c r="M81" s="27" t="s">
        <v>270</v>
      </c>
      <c r="N81">
        <f>COUNTIF(Questions!D:D,Nombre!M77)</f>
        <v>2</v>
      </c>
    </row>
    <row r="82" spans="13:14" x14ac:dyDescent="0.25">
      <c r="M82" s="21" t="s">
        <v>273</v>
      </c>
      <c r="N82">
        <f>COUNTIF(Questions!D:D,Nombre!M81)</f>
        <v>2</v>
      </c>
    </row>
    <row r="83" spans="13:14" x14ac:dyDescent="0.25">
      <c r="M83" s="15" t="s">
        <v>276</v>
      </c>
      <c r="N83">
        <f>COUNTIF(Questions!D:D,Nombre!M82)</f>
        <v>2</v>
      </c>
    </row>
    <row r="84" spans="13:14" x14ac:dyDescent="0.25">
      <c r="M84" s="18" t="s">
        <v>279</v>
      </c>
      <c r="N84">
        <f>COUNTIF(Questions!D:D,Nombre!M84)</f>
        <v>2</v>
      </c>
    </row>
    <row r="85" spans="13:14" x14ac:dyDescent="0.25">
      <c r="M85" s="8" t="s">
        <v>282</v>
      </c>
      <c r="N85">
        <f>COUNTIF(Questions!D:D,Nombre!M88)</f>
        <v>2</v>
      </c>
    </row>
    <row r="86" spans="13:14" x14ac:dyDescent="0.25">
      <c r="M86" s="39" t="s">
        <v>1031</v>
      </c>
      <c r="N86">
        <f>COUNTIF(Questions!D:D,Nombre!M89)</f>
        <v>2</v>
      </c>
    </row>
    <row r="87" spans="13:14" x14ac:dyDescent="0.25">
      <c r="M87" s="39" t="s">
        <v>1032</v>
      </c>
      <c r="N87">
        <f>COUNTIF(Questions!D:D,Nombre!M90)</f>
        <v>2</v>
      </c>
    </row>
    <row r="88" spans="13:14" x14ac:dyDescent="0.25">
      <c r="M88" s="30" t="s">
        <v>288</v>
      </c>
      <c r="N88">
        <f>COUNTIF(Questions!D:D,Nombre!M91)</f>
        <v>0</v>
      </c>
    </row>
    <row r="89" spans="13:14" x14ac:dyDescent="0.25">
      <c r="M89" s="24" t="s">
        <v>291</v>
      </c>
      <c r="N89">
        <f>COUNTIF(Questions!D:D,Nombre!M92)</f>
        <v>2</v>
      </c>
    </row>
    <row r="90" spans="13:14" x14ac:dyDescent="0.25">
      <c r="M90" s="51" t="s">
        <v>294</v>
      </c>
      <c r="N90">
        <f>COUNTIF(Questions!D:D,Nombre!M93)</f>
        <v>2</v>
      </c>
    </row>
    <row r="91" spans="13:14" x14ac:dyDescent="0.25">
      <c r="M91" s="27" t="s">
        <v>1033</v>
      </c>
      <c r="N91">
        <f>COUNTIF(Questions!D:D,Nombre!M94)</f>
        <v>2</v>
      </c>
    </row>
    <row r="92" spans="13:14" x14ac:dyDescent="0.25">
      <c r="M92" s="27" t="s">
        <v>300</v>
      </c>
      <c r="N92">
        <f>COUNTIF(Questions!D:D,Nombre!M95)</f>
        <v>2</v>
      </c>
    </row>
    <row r="93" spans="13:14" x14ac:dyDescent="0.25">
      <c r="M93" s="48" t="s">
        <v>303</v>
      </c>
      <c r="N93">
        <f>COUNTIF(Questions!D:D,Nombre!M96)</f>
        <v>2</v>
      </c>
    </row>
    <row r="94" spans="13:14" x14ac:dyDescent="0.25">
      <c r="M94" s="33" t="s">
        <v>306</v>
      </c>
      <c r="N94">
        <f>COUNTIF(Questions!D:D,Nombre!M97)</f>
        <v>2</v>
      </c>
    </row>
    <row r="95" spans="13:14" x14ac:dyDescent="0.25">
      <c r="M95" s="39" t="s">
        <v>309</v>
      </c>
      <c r="N95">
        <f>COUNTIF(Questions!D:D,Nombre!M98)</f>
        <v>2</v>
      </c>
    </row>
    <row r="96" spans="13:14" x14ac:dyDescent="0.25">
      <c r="M96" s="48" t="s">
        <v>312</v>
      </c>
      <c r="N96">
        <f>COUNTIF(Questions!D:D,Nombre!M87)</f>
        <v>0</v>
      </c>
    </row>
    <row r="97" spans="13:14" x14ac:dyDescent="0.25">
      <c r="M97" s="27" t="s">
        <v>324</v>
      </c>
      <c r="N97">
        <f>COUNTIF(Questions!D:D,Nombre!M99)</f>
        <v>2</v>
      </c>
    </row>
    <row r="98" spans="13:14" x14ac:dyDescent="0.25">
      <c r="M98" s="51" t="s">
        <v>318</v>
      </c>
      <c r="N98">
        <f>COUNTIF(Questions!D:D,Nombre!M100)</f>
        <v>2</v>
      </c>
    </row>
    <row r="99" spans="13:14" x14ac:dyDescent="0.25">
      <c r="M99" s="51" t="s">
        <v>321</v>
      </c>
      <c r="N99">
        <f>COUNTIF(Questions!D:D,Nombre!M101)</f>
        <v>2</v>
      </c>
    </row>
    <row r="100" spans="13:14" x14ac:dyDescent="0.25">
      <c r="M100" s="27" t="s">
        <v>360</v>
      </c>
      <c r="N100">
        <f>COUNTIF(Questions!D:D,Nombre!M102)</f>
        <v>2</v>
      </c>
    </row>
    <row r="101" spans="13:14" x14ac:dyDescent="0.25">
      <c r="M101" s="30" t="s">
        <v>327</v>
      </c>
      <c r="N101">
        <f>COUNTIF(Questions!D:D,Nombre!M103)</f>
        <v>2</v>
      </c>
    </row>
    <row r="102" spans="13:14" x14ac:dyDescent="0.25">
      <c r="M102" s="24" t="s">
        <v>330</v>
      </c>
      <c r="N102">
        <f>COUNTIF(Questions!D:D,Nombre!M104)</f>
        <v>2</v>
      </c>
    </row>
    <row r="103" spans="13:14" x14ac:dyDescent="0.25">
      <c r="M103" s="15" t="s">
        <v>333</v>
      </c>
      <c r="N103">
        <f>COUNTIF(Questions!D:D,Nombre!M105)</f>
        <v>2</v>
      </c>
    </row>
    <row r="104" spans="13:14" x14ac:dyDescent="0.25">
      <c r="M104" s="15" t="s">
        <v>336</v>
      </c>
      <c r="N104">
        <f>COUNTIF(Questions!D:D,Nombre!M106)</f>
        <v>2</v>
      </c>
    </row>
    <row r="105" spans="13:14" x14ac:dyDescent="0.25">
      <c r="M105" s="18" t="s">
        <v>957</v>
      </c>
      <c r="N105">
        <f>COUNTIF(Questions!D:D,Nombre!M107)</f>
        <v>2</v>
      </c>
    </row>
    <row r="106" spans="13:14" x14ac:dyDescent="0.25">
      <c r="M106" s="54" t="s">
        <v>339</v>
      </c>
      <c r="N106">
        <f>COUNTIF(Questions!D:D,Nombre!M108)</f>
        <v>2</v>
      </c>
    </row>
    <row r="107" spans="13:14" x14ac:dyDescent="0.25">
      <c r="M107" s="45" t="s">
        <v>342</v>
      </c>
      <c r="N107">
        <f>COUNTIF(Questions!D:D,Nombre!M109)</f>
        <v>2</v>
      </c>
    </row>
    <row r="108" spans="13:14" x14ac:dyDescent="0.25">
      <c r="M108" s="21" t="s">
        <v>345</v>
      </c>
      <c r="N108">
        <f>COUNTIF(Questions!D:D,Nombre!M110)</f>
        <v>0</v>
      </c>
    </row>
    <row r="109" spans="13:14" x14ac:dyDescent="0.25">
      <c r="M109" s="8" t="s">
        <v>348</v>
      </c>
      <c r="N109">
        <f>COUNTIF(Questions!D:D,Nombre!M111)</f>
        <v>2</v>
      </c>
    </row>
    <row r="110" spans="13:14" x14ac:dyDescent="0.25">
      <c r="M110" s="18" t="s">
        <v>1034</v>
      </c>
      <c r="N110">
        <f>COUNTIF(Questions!D:D,Nombre!M112)</f>
        <v>2</v>
      </c>
    </row>
    <row r="111" spans="13:14" x14ac:dyDescent="0.25">
      <c r="M111" s="21" t="s">
        <v>354</v>
      </c>
      <c r="N111">
        <f>COUNTIF(Questions!D:D,Nombre!M113)</f>
        <v>2</v>
      </c>
    </row>
    <row r="112" spans="13:14" x14ac:dyDescent="0.25">
      <c r="M112" s="18" t="s">
        <v>357</v>
      </c>
      <c r="N112">
        <f>COUNTIF(Questions!D:D,Nombre!M114)</f>
        <v>2</v>
      </c>
    </row>
    <row r="113" spans="13:14" x14ac:dyDescent="0.25">
      <c r="M113" s="27" t="s">
        <v>405</v>
      </c>
      <c r="N113">
        <f>COUNTIF(Questions!D:D,Nombre!M115)</f>
        <v>2</v>
      </c>
    </row>
    <row r="114" spans="13:14" x14ac:dyDescent="0.25">
      <c r="M114" s="24" t="s">
        <v>363</v>
      </c>
      <c r="N114">
        <f>COUNTIF(Questions!D:D,Nombre!M116)</f>
        <v>2</v>
      </c>
    </row>
    <row r="115" spans="13:14" x14ac:dyDescent="0.25">
      <c r="M115" s="8" t="s">
        <v>366</v>
      </c>
      <c r="N115">
        <f>COUNTIF(Questions!D:D,Nombre!M117)</f>
        <v>2</v>
      </c>
    </row>
    <row r="116" spans="13:14" x14ac:dyDescent="0.25">
      <c r="M116" s="39" t="s">
        <v>369</v>
      </c>
      <c r="N116">
        <f>COUNTIF(Questions!D:D,Nombre!M118)</f>
        <v>2</v>
      </c>
    </row>
    <row r="117" spans="13:14" x14ac:dyDescent="0.25">
      <c r="M117" s="39" t="s">
        <v>372</v>
      </c>
      <c r="N117">
        <f>COUNTIF(Questions!D:D,Nombre!M119)</f>
        <v>2</v>
      </c>
    </row>
    <row r="118" spans="13:14" x14ac:dyDescent="0.25">
      <c r="M118" s="15" t="s">
        <v>375</v>
      </c>
      <c r="N118">
        <f>COUNTIF(Questions!D:D,Nombre!M120)</f>
        <v>2</v>
      </c>
    </row>
    <row r="119" spans="13:14" x14ac:dyDescent="0.25">
      <c r="M119" s="54" t="s">
        <v>378</v>
      </c>
      <c r="N119">
        <f>COUNTIF(Questions!D:D,Nombre!M121)</f>
        <v>2</v>
      </c>
    </row>
    <row r="120" spans="13:14" x14ac:dyDescent="0.25">
      <c r="M120" s="18" t="s">
        <v>381</v>
      </c>
      <c r="N120">
        <f>COUNTIF(Questions!D:D,Nombre!M122)</f>
        <v>2</v>
      </c>
    </row>
    <row r="121" spans="13:14" x14ac:dyDescent="0.25">
      <c r="M121" s="45" t="s">
        <v>384</v>
      </c>
      <c r="N121">
        <f>COUNTIF(Questions!D:D,Nombre!M123)</f>
        <v>0</v>
      </c>
    </row>
    <row r="122" spans="13:14" x14ac:dyDescent="0.25">
      <c r="M122" s="45" t="s">
        <v>387</v>
      </c>
      <c r="N122">
        <f>COUNTIF(Questions!D:D,Nombre!M124)</f>
        <v>2</v>
      </c>
    </row>
    <row r="123" spans="13:14" x14ac:dyDescent="0.25">
      <c r="M123" s="54" t="s">
        <v>1035</v>
      </c>
      <c r="N123">
        <f>COUNTIF(Questions!D:D,Nombre!M125)</f>
        <v>0</v>
      </c>
    </row>
    <row r="124" spans="13:14" x14ac:dyDescent="0.25">
      <c r="M124" s="54" t="s">
        <v>393</v>
      </c>
      <c r="N124">
        <f>COUNTIF(Questions!D:D,Nombre!M126)</f>
        <v>2</v>
      </c>
    </row>
    <row r="125" spans="13:14" x14ac:dyDescent="0.25">
      <c r="M125" s="54" t="s">
        <v>1036</v>
      </c>
      <c r="N125">
        <f>COUNTIF(Questions!D:D,Nombre!M127)</f>
        <v>2</v>
      </c>
    </row>
    <row r="126" spans="13:14" x14ac:dyDescent="0.25">
      <c r="M126" s="15" t="s">
        <v>396</v>
      </c>
      <c r="N126">
        <f>COUNTIF(Questions!D:D,Nombre!M128)</f>
        <v>2</v>
      </c>
    </row>
    <row r="127" spans="13:14" x14ac:dyDescent="0.25">
      <c r="M127" s="8" t="s">
        <v>399</v>
      </c>
      <c r="N127">
        <f>COUNTIF(Questions!D:D,Nombre!M129)</f>
        <v>2</v>
      </c>
    </row>
    <row r="128" spans="13:14" x14ac:dyDescent="0.25">
      <c r="M128" s="36" t="s">
        <v>932</v>
      </c>
      <c r="N128">
        <f>COUNTIF(Questions!D:D,Nombre!M130)</f>
        <v>2</v>
      </c>
    </row>
    <row r="129" spans="13:14" x14ac:dyDescent="0.25">
      <c r="M129" s="27" t="s">
        <v>473</v>
      </c>
      <c r="N129">
        <f>COUNTIF(Questions!D:D,Nombre!M131)</f>
        <v>2</v>
      </c>
    </row>
    <row r="130" spans="13:14" x14ac:dyDescent="0.25">
      <c r="M130" s="48" t="s">
        <v>408</v>
      </c>
      <c r="N130">
        <f>COUNTIF(Questions!D:D,Nombre!M132)</f>
        <v>0</v>
      </c>
    </row>
    <row r="131" spans="13:14" x14ac:dyDescent="0.25">
      <c r="M131" s="18" t="s">
        <v>411</v>
      </c>
      <c r="N131">
        <f>COUNTIF(Questions!D:D,Nombre!M133)</f>
        <v>2</v>
      </c>
    </row>
    <row r="132" spans="13:14" x14ac:dyDescent="0.25">
      <c r="M132" s="48" t="s">
        <v>1037</v>
      </c>
      <c r="N132">
        <f>COUNTIF(Questions!D:D,Nombre!M134)</f>
        <v>0</v>
      </c>
    </row>
    <row r="133" spans="13:14" x14ac:dyDescent="0.25">
      <c r="M133" s="54" t="s">
        <v>417</v>
      </c>
      <c r="N133">
        <f>COUNTIF(Questions!D:D,Nombre!M135)</f>
        <v>2</v>
      </c>
    </row>
    <row r="134" spans="13:14" x14ac:dyDescent="0.25">
      <c r="M134" s="54" t="s">
        <v>1038</v>
      </c>
      <c r="N134">
        <f>COUNTIF(Questions!D:D,Nombre!M136)</f>
        <v>2</v>
      </c>
    </row>
    <row r="135" spans="13:14" x14ac:dyDescent="0.25">
      <c r="M135" s="54" t="s">
        <v>420</v>
      </c>
      <c r="N135">
        <f>COUNTIF(Questions!D:D,Nombre!M137)</f>
        <v>2</v>
      </c>
    </row>
    <row r="136" spans="13:14" x14ac:dyDescent="0.25">
      <c r="M136" s="42" t="s">
        <v>423</v>
      </c>
      <c r="N136">
        <f>COUNTIF(Questions!D:D,Nombre!M138)</f>
        <v>0</v>
      </c>
    </row>
    <row r="137" spans="13:14" x14ac:dyDescent="0.25">
      <c r="M137" s="30" t="s">
        <v>426</v>
      </c>
      <c r="N137">
        <f>COUNTIF(Questions!D:D,Nombre!M139)</f>
        <v>2</v>
      </c>
    </row>
    <row r="138" spans="13:14" x14ac:dyDescent="0.25">
      <c r="M138" s="24" t="s">
        <v>1039</v>
      </c>
      <c r="N138">
        <f>COUNTIF(Questions!D:D,Nombre!M140)</f>
        <v>2</v>
      </c>
    </row>
    <row r="139" spans="13:14" x14ac:dyDescent="0.25">
      <c r="M139" s="8" t="s">
        <v>433</v>
      </c>
      <c r="N139">
        <f>COUNTIF(Questions!D:D,Nombre!M141)</f>
        <v>2</v>
      </c>
    </row>
    <row r="140" spans="13:14" x14ac:dyDescent="0.25">
      <c r="M140" s="39" t="s">
        <v>436</v>
      </c>
      <c r="N140">
        <f>COUNTIF(Questions!D:D,Nombre!M142)</f>
        <v>2</v>
      </c>
    </row>
    <row r="141" spans="13:14" x14ac:dyDescent="0.25">
      <c r="M141" s="39" t="s">
        <v>440</v>
      </c>
      <c r="N141">
        <f>COUNTIF(Questions!D:D,Nombre!M143)</f>
        <v>2</v>
      </c>
    </row>
    <row r="142" spans="13:14" x14ac:dyDescent="0.25">
      <c r="M142" s="42" t="s">
        <v>443</v>
      </c>
      <c r="N142">
        <f>COUNTIF(Questions!D:D,Nombre!M144)</f>
        <v>2</v>
      </c>
    </row>
    <row r="143" spans="13:14" x14ac:dyDescent="0.25">
      <c r="M143" s="54" t="s">
        <v>449</v>
      </c>
      <c r="N143">
        <f>COUNTIF(Questions!D:D,Nombre!M145)</f>
        <v>2</v>
      </c>
    </row>
    <row r="144" spans="13:14" x14ac:dyDescent="0.25">
      <c r="M144" s="39" t="s">
        <v>452</v>
      </c>
      <c r="N144">
        <f>COUNTIF(Questions!D:D,Nombre!M146)</f>
        <v>0</v>
      </c>
    </row>
    <row r="145" spans="13:14" x14ac:dyDescent="0.25">
      <c r="M145" s="27" t="s">
        <v>455</v>
      </c>
      <c r="N145">
        <f>COUNTIF(Questions!D:D,Nombre!M147)</f>
        <v>2</v>
      </c>
    </row>
    <row r="146" spans="13:14" x14ac:dyDescent="0.25">
      <c r="M146" s="39" t="s">
        <v>1040</v>
      </c>
      <c r="N146">
        <f>COUNTIF(Questions!D:D,Nombre!M148)</f>
        <v>2</v>
      </c>
    </row>
    <row r="147" spans="13:14" x14ac:dyDescent="0.25">
      <c r="M147" s="48" t="s">
        <v>461</v>
      </c>
      <c r="N147">
        <f>COUNTIF(Questions!D:D,Nombre!M149)</f>
        <v>2</v>
      </c>
    </row>
    <row r="148" spans="13:14" x14ac:dyDescent="0.25">
      <c r="M148" s="39" t="s">
        <v>464</v>
      </c>
      <c r="N148">
        <f>COUNTIF(Questions!D:D,Nombre!M150)</f>
        <v>0</v>
      </c>
    </row>
    <row r="149" spans="13:14" x14ac:dyDescent="0.25">
      <c r="M149" s="33" t="s">
        <v>467</v>
      </c>
      <c r="N149">
        <f>COUNTIF(Questions!D:D,Nombre!M151)</f>
        <v>0</v>
      </c>
    </row>
    <row r="150" spans="13:14" x14ac:dyDescent="0.25">
      <c r="M150" s="33" t="s">
        <v>1041</v>
      </c>
      <c r="N150">
        <f>COUNTIF(Questions!D:D,Nombre!M152)</f>
        <v>2</v>
      </c>
    </row>
    <row r="151" spans="13:14" x14ac:dyDescent="0.25">
      <c r="M151" s="54" t="s">
        <v>1042</v>
      </c>
      <c r="N151">
        <f>COUNTIF(Questions!D:D,Nombre!M153)</f>
        <v>2</v>
      </c>
    </row>
    <row r="152" spans="13:14" x14ac:dyDescent="0.25">
      <c r="M152" s="30" t="s">
        <v>491</v>
      </c>
      <c r="N152">
        <f>COUNTIF(Questions!D:D,Nombre!M154)</f>
        <v>0</v>
      </c>
    </row>
    <row r="153" spans="13:14" x14ac:dyDescent="0.25">
      <c r="M153" s="33" t="s">
        <v>476</v>
      </c>
      <c r="N153">
        <f>COUNTIF(Questions!D:D,Nombre!M155)</f>
        <v>0</v>
      </c>
    </row>
    <row r="154" spans="13:14" x14ac:dyDescent="0.25">
      <c r="M154" s="24" t="s">
        <v>1043</v>
      </c>
      <c r="N154">
        <f>COUNTIF(Questions!D:D,Nombre!M156)</f>
        <v>2</v>
      </c>
    </row>
    <row r="155" spans="13:14" x14ac:dyDescent="0.25">
      <c r="M155" s="30" t="s">
        <v>1044</v>
      </c>
      <c r="N155">
        <f>COUNTIF(Questions!D:D,Nombre!M157)</f>
        <v>2</v>
      </c>
    </row>
    <row r="156" spans="13:14" x14ac:dyDescent="0.25">
      <c r="M156" s="54" t="s">
        <v>485</v>
      </c>
      <c r="N156">
        <f>COUNTIF(Questions!D:D,Nombre!M158)</f>
        <v>2</v>
      </c>
    </row>
    <row r="157" spans="13:14" x14ac:dyDescent="0.25">
      <c r="M157" s="15" t="s">
        <v>488</v>
      </c>
      <c r="N157">
        <f>COUNTIF(Questions!D:D,Nombre!M159)</f>
        <v>2</v>
      </c>
    </row>
    <row r="158" spans="13:14" x14ac:dyDescent="0.25">
      <c r="M158" s="27" t="s">
        <v>533</v>
      </c>
      <c r="N158">
        <f>COUNTIF(Questions!D:D,Nombre!M160)</f>
        <v>2</v>
      </c>
    </row>
    <row r="159" spans="13:14" x14ac:dyDescent="0.25">
      <c r="M159" s="39" t="s">
        <v>494</v>
      </c>
      <c r="N159">
        <f>COUNTIF(Questions!D:D,Nombre!M161)</f>
        <v>2</v>
      </c>
    </row>
    <row r="160" spans="13:14" x14ac:dyDescent="0.25">
      <c r="M160" s="39" t="s">
        <v>497</v>
      </c>
      <c r="N160">
        <f>COUNTIF(Questions!D:D,Nombre!M162)</f>
        <v>2</v>
      </c>
    </row>
    <row r="161" spans="13:14" x14ac:dyDescent="0.25">
      <c r="M161" s="15" t="s">
        <v>499</v>
      </c>
      <c r="N161">
        <f>COUNTIF(Questions!D:D,Nombre!M163)</f>
        <v>2</v>
      </c>
    </row>
    <row r="162" spans="13:14" x14ac:dyDescent="0.25">
      <c r="M162" s="21" t="s">
        <v>938</v>
      </c>
      <c r="N162">
        <f>COUNTIF(Questions!D:D,Nombre!M164)</f>
        <v>2</v>
      </c>
    </row>
    <row r="163" spans="13:14" x14ac:dyDescent="0.25">
      <c r="M163" s="39" t="s">
        <v>502</v>
      </c>
      <c r="N163">
        <f>COUNTIF(Questions!D:D,Nombre!M165)</f>
        <v>2</v>
      </c>
    </row>
    <row r="164" spans="13:14" x14ac:dyDescent="0.25">
      <c r="M164" s="27" t="s">
        <v>569</v>
      </c>
      <c r="N164">
        <f>COUNTIF(Questions!D:D,Nombre!M166)</f>
        <v>2</v>
      </c>
    </row>
    <row r="165" spans="13:14" x14ac:dyDescent="0.25">
      <c r="M165" s="51" t="s">
        <v>944</v>
      </c>
      <c r="N165">
        <f>COUNTIF(Questions!D:D,Nombre!M167)</f>
        <v>2</v>
      </c>
    </row>
    <row r="166" spans="13:14" x14ac:dyDescent="0.25">
      <c r="M166" s="39" t="s">
        <v>508</v>
      </c>
      <c r="N166">
        <f>COUNTIF(Questions!D:D,Nombre!M168)</f>
        <v>2</v>
      </c>
    </row>
    <row r="167" spans="13:14" x14ac:dyDescent="0.25">
      <c r="M167" s="39" t="s">
        <v>512</v>
      </c>
      <c r="N167">
        <f>COUNTIF(Questions!D:D,Nombre!M169)</f>
        <v>2</v>
      </c>
    </row>
    <row r="168" spans="13:14" x14ac:dyDescent="0.25">
      <c r="M168" s="39" t="s">
        <v>515</v>
      </c>
      <c r="N168">
        <f>COUNTIF(Questions!D:D,Nombre!M170)</f>
        <v>0</v>
      </c>
    </row>
    <row r="169" spans="13:14" x14ac:dyDescent="0.25">
      <c r="M169" s="45" t="s">
        <v>518</v>
      </c>
      <c r="N169">
        <f>COUNTIF(Questions!D:D,Nombre!M171)</f>
        <v>2</v>
      </c>
    </row>
    <row r="170" spans="13:14" x14ac:dyDescent="0.25">
      <c r="M170" s="45" t="s">
        <v>1045</v>
      </c>
      <c r="N170">
        <f>COUNTIF(Questions!D:D,Nombre!M172)</f>
        <v>2</v>
      </c>
    </row>
    <row r="171" spans="13:14" x14ac:dyDescent="0.25">
      <c r="M171" s="45" t="s">
        <v>521</v>
      </c>
      <c r="N171">
        <f>COUNTIF(Questions!D:D,Nombre!M173)</f>
        <v>2</v>
      </c>
    </row>
    <row r="172" spans="13:14" x14ac:dyDescent="0.25">
      <c r="M172" s="45" t="s">
        <v>524</v>
      </c>
      <c r="N172">
        <f>COUNTIF(Questions!D:D,Nombre!M174)</f>
        <v>2</v>
      </c>
    </row>
    <row r="173" spans="13:14" x14ac:dyDescent="0.25">
      <c r="M173" s="30" t="s">
        <v>527</v>
      </c>
      <c r="N173">
        <f>COUNTIF(Questions!D:D,Nombre!M175)</f>
        <v>0</v>
      </c>
    </row>
    <row r="174" spans="13:14" x14ac:dyDescent="0.25">
      <c r="M174" s="45" t="s">
        <v>7</v>
      </c>
      <c r="N174">
        <f>COUNTIF(Questions!D:D,Nombre!M176)</f>
        <v>2</v>
      </c>
    </row>
    <row r="175" spans="13:14" x14ac:dyDescent="0.25">
      <c r="M175" s="45" t="s">
        <v>1046</v>
      </c>
      <c r="N175">
        <f>COUNTIF(Questions!D:D,Nombre!M177)</f>
        <v>2</v>
      </c>
    </row>
    <row r="176" spans="13:14" x14ac:dyDescent="0.25">
      <c r="M176" s="24" t="s">
        <v>530</v>
      </c>
      <c r="N176">
        <f>COUNTIF(Questions!D:D,Nombre!M178)</f>
        <v>2</v>
      </c>
    </row>
    <row r="177" spans="13:14" x14ac:dyDescent="0.25">
      <c r="M177" s="27" t="s">
        <v>584</v>
      </c>
      <c r="N177">
        <f>COUNTIF(Questions!D:D,Nombre!M179)</f>
        <v>2</v>
      </c>
    </row>
    <row r="178" spans="13:14" x14ac:dyDescent="0.25">
      <c r="M178" s="42" t="s">
        <v>536</v>
      </c>
      <c r="N178">
        <f>COUNTIF(Questions!D:D,Nombre!M180)</f>
        <v>2</v>
      </c>
    </row>
    <row r="179" spans="13:14" x14ac:dyDescent="0.25">
      <c r="M179" s="33" t="s">
        <v>539</v>
      </c>
      <c r="N179">
        <f>COUNTIF(Questions!D:D,Nombre!M181)</f>
        <v>2</v>
      </c>
    </row>
    <row r="180" spans="13:14" x14ac:dyDescent="0.25">
      <c r="M180" s="15" t="s">
        <v>542</v>
      </c>
      <c r="N180">
        <f>COUNTIF(Questions!D:D,Nombre!M182)</f>
        <v>2</v>
      </c>
    </row>
    <row r="181" spans="13:14" x14ac:dyDescent="0.25">
      <c r="M181" s="24" t="s">
        <v>11</v>
      </c>
      <c r="N181">
        <f>COUNTIF(Questions!D:D,Nombre!M183)</f>
        <v>2</v>
      </c>
    </row>
    <row r="182" spans="13:14" x14ac:dyDescent="0.25">
      <c r="M182" s="48" t="s">
        <v>545</v>
      </c>
      <c r="N182">
        <f>COUNTIF(Questions!D:D,Nombre!M184)</f>
        <v>2</v>
      </c>
    </row>
    <row r="183" spans="13:14" x14ac:dyDescent="0.25">
      <c r="M183" s="39" t="s">
        <v>548</v>
      </c>
      <c r="N183">
        <f>COUNTIF(Questions!D:D,Nombre!M185)</f>
        <v>2</v>
      </c>
    </row>
    <row r="184" spans="13:14" x14ac:dyDescent="0.25">
      <c r="M184" s="8" t="s">
        <v>551</v>
      </c>
      <c r="N184">
        <f>COUNTIF(Questions!D:D,Nombre!M186)</f>
        <v>2</v>
      </c>
    </row>
    <row r="185" spans="13:14" x14ac:dyDescent="0.25">
      <c r="M185" s="27" t="s">
        <v>641</v>
      </c>
      <c r="N185">
        <f>COUNTIF(Questions!D:D,Nombre!M187)</f>
        <v>2</v>
      </c>
    </row>
    <row r="186" spans="13:14" x14ac:dyDescent="0.25">
      <c r="M186" s="48" t="s">
        <v>554</v>
      </c>
      <c r="N186">
        <f>COUNTIF(Questions!D:D,Nombre!M188)</f>
        <v>2</v>
      </c>
    </row>
    <row r="187" spans="13:14" x14ac:dyDescent="0.25">
      <c r="M187" s="48" t="s">
        <v>15</v>
      </c>
      <c r="N187">
        <f>COUNTIF(Questions!D:D,Nombre!M189)</f>
        <v>2</v>
      </c>
    </row>
    <row r="188" spans="13:14" x14ac:dyDescent="0.25">
      <c r="M188" s="48" t="s">
        <v>557</v>
      </c>
      <c r="N188">
        <f>COUNTIF(Questions!D:D,Nombre!M190)</f>
        <v>2</v>
      </c>
    </row>
    <row r="189" spans="13:14" x14ac:dyDescent="0.25">
      <c r="M189" s="45" t="s">
        <v>560</v>
      </c>
      <c r="N189">
        <f>COUNTIF(Questions!D:D,Nombre!M191)</f>
        <v>2</v>
      </c>
    </row>
    <row r="190" spans="13:14" x14ac:dyDescent="0.25">
      <c r="M190" s="45" t="s">
        <v>563</v>
      </c>
      <c r="N190">
        <f>COUNTIF(Questions!D:D,Nombre!M192)</f>
        <v>2</v>
      </c>
    </row>
    <row r="191" spans="13:14" x14ac:dyDescent="0.25">
      <c r="M191" s="36" t="s">
        <v>566</v>
      </c>
      <c r="N191">
        <f>COUNTIF(Questions!D:D,Nombre!M193)</f>
        <v>2</v>
      </c>
    </row>
    <row r="192" spans="13:14" x14ac:dyDescent="0.25">
      <c r="M192" s="27" t="s">
        <v>673</v>
      </c>
      <c r="N192">
        <f>COUNTIF(Questions!D:D,Nombre!M194)</f>
        <v>2</v>
      </c>
    </row>
    <row r="193" spans="13:14" x14ac:dyDescent="0.25">
      <c r="M193" s="51" t="s">
        <v>578</v>
      </c>
      <c r="N193">
        <f>COUNTIF(Questions!D:D,Nombre!M195)</f>
        <v>2</v>
      </c>
    </row>
    <row r="194" spans="13:14" x14ac:dyDescent="0.25">
      <c r="M194" s="27" t="s">
        <v>691</v>
      </c>
      <c r="N194">
        <f>COUNTIF(Questions!D:D,Nombre!M196)</f>
        <v>0</v>
      </c>
    </row>
    <row r="195" spans="13:14" x14ac:dyDescent="0.25">
      <c r="M195" s="48" t="s">
        <v>587</v>
      </c>
      <c r="N195">
        <f>COUNTIF(Questions!D:D,Nombre!M197)</f>
        <v>2</v>
      </c>
    </row>
    <row r="196" spans="13:14" x14ac:dyDescent="0.25">
      <c r="M196" s="48" t="s">
        <v>1047</v>
      </c>
      <c r="N196">
        <f>COUNTIF(Questions!D:D,Nombre!M198)</f>
        <v>0</v>
      </c>
    </row>
    <row r="197" spans="13:14" x14ac:dyDescent="0.25">
      <c r="M197" s="39" t="s">
        <v>590</v>
      </c>
      <c r="N197">
        <f>COUNTIF(Questions!D:D,Nombre!M199)</f>
        <v>0</v>
      </c>
    </row>
    <row r="198" spans="13:14" x14ac:dyDescent="0.25">
      <c r="M198" s="45" t="s">
        <v>1048</v>
      </c>
      <c r="N198">
        <f>COUNTIF(Questions!D:D,Nombre!M200)</f>
        <v>2</v>
      </c>
    </row>
    <row r="199" spans="13:14" x14ac:dyDescent="0.25">
      <c r="M199" s="42" t="s">
        <v>1049</v>
      </c>
      <c r="N199">
        <f>COUNTIF(Questions!D:D,Nombre!M201)</f>
        <v>2</v>
      </c>
    </row>
    <row r="200" spans="13:14" x14ac:dyDescent="0.25">
      <c r="M200" s="8" t="s">
        <v>598</v>
      </c>
      <c r="N200">
        <f>COUNTIF(Questions!D:D,Nombre!M202)</f>
        <v>2</v>
      </c>
    </row>
    <row r="201" spans="13:14" x14ac:dyDescent="0.25">
      <c r="M201" s="8" t="s">
        <v>602</v>
      </c>
      <c r="N201">
        <f>COUNTIF(Questions!D:D,Nombre!M203)</f>
        <v>2</v>
      </c>
    </row>
    <row r="202" spans="13:14" x14ac:dyDescent="0.25">
      <c r="M202" s="45" t="s">
        <v>605</v>
      </c>
      <c r="N202">
        <f>COUNTIF(Questions!D:D,Nombre!M204)</f>
        <v>2</v>
      </c>
    </row>
    <row r="203" spans="13:14" x14ac:dyDescent="0.25">
      <c r="M203" s="45" t="s">
        <v>608</v>
      </c>
      <c r="N203">
        <f>COUNTIF(Questions!D:D,Nombre!M205)</f>
        <v>2</v>
      </c>
    </row>
    <row r="204" spans="13:14" x14ac:dyDescent="0.25">
      <c r="M204" s="45" t="s">
        <v>611</v>
      </c>
      <c r="N204">
        <f>COUNTIF(Questions!D:D,Nombre!M206)</f>
        <v>2</v>
      </c>
    </row>
    <row r="205" spans="13:14" x14ac:dyDescent="0.25">
      <c r="M205" s="30" t="s">
        <v>614</v>
      </c>
      <c r="N205">
        <f>COUNTIF(Questions!D:D,Nombre!M207)</f>
        <v>0</v>
      </c>
    </row>
    <row r="206" spans="13:14" x14ac:dyDescent="0.25">
      <c r="M206" s="27" t="s">
        <v>617</v>
      </c>
      <c r="N206">
        <f>COUNTIF(Questions!D:D,Nombre!M208)</f>
        <v>2</v>
      </c>
    </row>
    <row r="207" spans="13:14" x14ac:dyDescent="0.25">
      <c r="M207" s="15" t="s">
        <v>1050</v>
      </c>
      <c r="N207">
        <f>COUNTIF(Questions!D:D,Nombre!M209)</f>
        <v>2</v>
      </c>
    </row>
    <row r="208" spans="13:14" x14ac:dyDescent="0.25">
      <c r="M208" s="15" t="s">
        <v>626</v>
      </c>
      <c r="N208">
        <f>COUNTIF(Questions!D:D,Nombre!M210)</f>
        <v>0</v>
      </c>
    </row>
    <row r="209" spans="13:14" x14ac:dyDescent="0.25">
      <c r="M209" s="24" t="s">
        <v>18</v>
      </c>
      <c r="N209">
        <f>COUNTIF(Questions!D:D,Nombre!M211)</f>
        <v>2</v>
      </c>
    </row>
    <row r="210" spans="13:14" x14ac:dyDescent="0.25">
      <c r="M210" s="24" t="s">
        <v>1051</v>
      </c>
      <c r="N210">
        <f>COUNTIF(Questions!D:D,Nombre!M212)</f>
        <v>2</v>
      </c>
    </row>
    <row r="211" spans="13:14" x14ac:dyDescent="0.25">
      <c r="M211" s="51" t="s">
        <v>629</v>
      </c>
      <c r="N211">
        <f>COUNTIF(Questions!D:D,Nombre!M213)</f>
        <v>2</v>
      </c>
    </row>
    <row r="212" spans="13:14" x14ac:dyDescent="0.25">
      <c r="M212" s="30" t="s">
        <v>632</v>
      </c>
      <c r="N212">
        <f>COUNTIF(Questions!D:D,Nombre!M214)</f>
        <v>2</v>
      </c>
    </row>
    <row r="213" spans="13:14" x14ac:dyDescent="0.25">
      <c r="M213" s="45" t="s">
        <v>635</v>
      </c>
      <c r="N213">
        <f>COUNTIF(Questions!D:D,Nombre!M215)</f>
        <v>2</v>
      </c>
    </row>
    <row r="214" spans="13:14" x14ac:dyDescent="0.25">
      <c r="M214" s="54" t="s">
        <v>638</v>
      </c>
      <c r="N214">
        <f>COUNTIF(Questions!D:D,Nombre!M216)</f>
        <v>2</v>
      </c>
    </row>
    <row r="215" spans="13:14" x14ac:dyDescent="0.25">
      <c r="M215" s="27" t="s">
        <v>712</v>
      </c>
      <c r="N215">
        <f>COUNTIF(Questions!D:D,Nombre!M217)</f>
        <v>0</v>
      </c>
    </row>
    <row r="216" spans="13:14" x14ac:dyDescent="0.25">
      <c r="M216" s="39" t="s">
        <v>644</v>
      </c>
      <c r="N216">
        <f>COUNTIF(Questions!D:D,Nombre!M218)</f>
        <v>0</v>
      </c>
    </row>
    <row r="217" spans="13:14" x14ac:dyDescent="0.25">
      <c r="M217" s="39" t="s">
        <v>1052</v>
      </c>
      <c r="N217">
        <f>COUNTIF(Questions!D:D,Nombre!M219)</f>
        <v>0</v>
      </c>
    </row>
    <row r="218" spans="13:14" x14ac:dyDescent="0.25">
      <c r="M218" s="24" t="s">
        <v>1053</v>
      </c>
      <c r="N218">
        <f>COUNTIF(Questions!D:D,Nombre!M220)</f>
        <v>2</v>
      </c>
    </row>
    <row r="219" spans="13:14" x14ac:dyDescent="0.25">
      <c r="M219" s="45" t="s">
        <v>1054</v>
      </c>
      <c r="N219">
        <f>COUNTIF(Questions!D:D,Nombre!M221)</f>
        <v>2</v>
      </c>
    </row>
    <row r="220" spans="13:14" x14ac:dyDescent="0.25">
      <c r="M220" s="8" t="s">
        <v>653</v>
      </c>
      <c r="N220">
        <f>COUNTIF(Questions!D:D,Nombre!M222)</f>
        <v>0</v>
      </c>
    </row>
    <row r="221" spans="13:14" x14ac:dyDescent="0.25">
      <c r="M221" s="39" t="s">
        <v>656</v>
      </c>
      <c r="N221">
        <f>COUNTIF(Questions!D:D,Nombre!M223)</f>
        <v>2</v>
      </c>
    </row>
    <row r="222" spans="13:14" x14ac:dyDescent="0.25">
      <c r="M222" s="39" t="s">
        <v>1055</v>
      </c>
      <c r="N222">
        <f>COUNTIF(Questions!D:D,Nombre!M224)</f>
        <v>2</v>
      </c>
    </row>
    <row r="223" spans="13:14" x14ac:dyDescent="0.25">
      <c r="M223" s="24" t="s">
        <v>659</v>
      </c>
      <c r="N223">
        <f>COUNTIF(Questions!D:D,Nombre!M225)</f>
        <v>2</v>
      </c>
    </row>
    <row r="224" spans="13:14" x14ac:dyDescent="0.25">
      <c r="M224" s="33" t="s">
        <v>662</v>
      </c>
      <c r="N224">
        <f>COUNTIF(Questions!D:D,Nombre!M226)</f>
        <v>2</v>
      </c>
    </row>
    <row r="225" spans="13:14" x14ac:dyDescent="0.25">
      <c r="M225" s="39" t="s">
        <v>665</v>
      </c>
      <c r="N225">
        <f>COUNTIF(Questions!D:D,Nombre!M227)</f>
        <v>0</v>
      </c>
    </row>
    <row r="226" spans="13:14" x14ac:dyDescent="0.25">
      <c r="M226" s="18" t="s">
        <v>668</v>
      </c>
      <c r="N226">
        <f>COUNTIF(Questions!D:D,Nombre!M228)</f>
        <v>2</v>
      </c>
    </row>
    <row r="227" spans="13:14" x14ac:dyDescent="0.25">
      <c r="M227" s="21" t="s">
        <v>1056</v>
      </c>
      <c r="N227">
        <f>COUNTIF(Questions!D:D,Nombre!M229)</f>
        <v>2</v>
      </c>
    </row>
    <row r="228" spans="13:14" x14ac:dyDescent="0.25">
      <c r="M228" s="39" t="s">
        <v>675</v>
      </c>
      <c r="N228">
        <f>COUNTIF(Questions!D:D,Nombre!M230)</f>
        <v>2</v>
      </c>
    </row>
    <row r="229" spans="13:14" x14ac:dyDescent="0.25">
      <c r="M229" s="45" t="s">
        <v>678</v>
      </c>
      <c r="N229">
        <f>COUNTIF(Questions!D:D,Nombre!M231)</f>
        <v>2</v>
      </c>
    </row>
    <row r="230" spans="13:14" x14ac:dyDescent="0.25">
      <c r="M230" s="8" t="s">
        <v>684</v>
      </c>
      <c r="N230">
        <f>COUNTIF(Questions!D:D,Nombre!M232)</f>
        <v>2</v>
      </c>
    </row>
    <row r="231" spans="13:14" x14ac:dyDescent="0.25">
      <c r="M231" s="27" t="s">
        <v>687</v>
      </c>
      <c r="N231">
        <f>COUNTIF(Questions!D:D,Nombre!M233)</f>
        <v>0</v>
      </c>
    </row>
    <row r="232" spans="13:14" x14ac:dyDescent="0.25">
      <c r="M232" s="39" t="s">
        <v>695</v>
      </c>
      <c r="N232">
        <f>COUNTIF(Questions!D:D,Nombre!M234)</f>
        <v>0</v>
      </c>
    </row>
    <row r="233" spans="13:14" x14ac:dyDescent="0.25">
      <c r="M233" s="15" t="s">
        <v>1057</v>
      </c>
      <c r="N233">
        <f>COUNTIF(Questions!D:D,Nombre!M235)</f>
        <v>2</v>
      </c>
    </row>
    <row r="234" spans="13:14" x14ac:dyDescent="0.25">
      <c r="M234" s="42" t="s">
        <v>1058</v>
      </c>
      <c r="N234">
        <f>COUNTIF(Questions!D:D,Nombre!M236)</f>
        <v>0</v>
      </c>
    </row>
    <row r="235" spans="13:14" x14ac:dyDescent="0.25">
      <c r="M235" s="42" t="s">
        <v>702</v>
      </c>
      <c r="N235">
        <f>COUNTIF(Questions!D:D,Nombre!M237)</f>
        <v>0</v>
      </c>
    </row>
    <row r="236" spans="13:14" x14ac:dyDescent="0.25">
      <c r="M236" s="18" t="s">
        <v>1059</v>
      </c>
      <c r="N236">
        <f>COUNTIF(Questions!D:D,Nombre!M238)</f>
        <v>2</v>
      </c>
    </row>
    <row r="237" spans="13:14" x14ac:dyDescent="0.25">
      <c r="M237" s="27" t="s">
        <v>1060</v>
      </c>
      <c r="N237">
        <f>COUNTIF(Questions!D:D,Nombre!M239)</f>
        <v>2</v>
      </c>
    </row>
    <row r="238" spans="13:14" x14ac:dyDescent="0.25">
      <c r="M238" s="27" t="s">
        <v>726</v>
      </c>
      <c r="N238">
        <f>COUNTIF(Questions!D:D,Nombre!M240)</f>
        <v>2</v>
      </c>
    </row>
    <row r="239" spans="13:14" x14ac:dyDescent="0.25">
      <c r="M239" s="18" t="s">
        <v>714</v>
      </c>
      <c r="N239">
        <f>COUNTIF(Questions!D:D,Nombre!M241)</f>
        <v>2</v>
      </c>
    </row>
    <row r="240" spans="13:14" x14ac:dyDescent="0.25">
      <c r="M240" s="27" t="s">
        <v>729</v>
      </c>
      <c r="N240">
        <f>COUNTIF(Questions!D:D,Nombre!M242)</f>
        <v>2</v>
      </c>
    </row>
    <row r="241" spans="13:14" x14ac:dyDescent="0.25">
      <c r="M241" s="45" t="s">
        <v>720</v>
      </c>
      <c r="N241">
        <f>COUNTIF(Questions!D:D,Nombre!M243)</f>
        <v>2</v>
      </c>
    </row>
    <row r="242" spans="13:14" x14ac:dyDescent="0.25">
      <c r="M242" s="15" t="s">
        <v>723</v>
      </c>
      <c r="N242">
        <f>COUNTIF(Questions!D:D,Nombre!M244)</f>
        <v>2</v>
      </c>
    </row>
    <row r="243" spans="13:14" x14ac:dyDescent="0.25">
      <c r="M243" s="27" t="s">
        <v>732</v>
      </c>
      <c r="N243">
        <f>COUNTIF(Questions!D:D,Nombre!M245)</f>
        <v>2</v>
      </c>
    </row>
    <row r="244" spans="13:14" x14ac:dyDescent="0.25">
      <c r="M244" s="27" t="s">
        <v>811</v>
      </c>
      <c r="N244">
        <f>COUNTIF(Questions!D:D,Nombre!M246)</f>
        <v>2</v>
      </c>
    </row>
    <row r="245" spans="13:14" x14ac:dyDescent="0.25">
      <c r="M245" s="27" t="s">
        <v>826</v>
      </c>
      <c r="N245">
        <f>COUNTIF(Questions!D:D,Nombre!M247)</f>
        <v>2</v>
      </c>
    </row>
    <row r="246" spans="13:14" x14ac:dyDescent="0.25">
      <c r="M246" s="27" t="s">
        <v>847</v>
      </c>
      <c r="N246">
        <f>COUNTIF(Questions!D:D,Nombre!M248)</f>
        <v>2</v>
      </c>
    </row>
    <row r="247" spans="13:14" x14ac:dyDescent="0.25">
      <c r="M247" s="39" t="s">
        <v>738</v>
      </c>
      <c r="N247">
        <f>COUNTIF(Questions!D:D,Nombre!M249)</f>
        <v>2</v>
      </c>
    </row>
    <row r="248" spans="13:14" x14ac:dyDescent="0.25">
      <c r="M248" s="39" t="s">
        <v>741</v>
      </c>
      <c r="N248">
        <f>COUNTIF(Questions!D:D,Nombre!M250)</f>
        <v>2</v>
      </c>
    </row>
    <row r="249" spans="13:14" x14ac:dyDescent="0.25">
      <c r="M249" s="15" t="s">
        <v>744</v>
      </c>
      <c r="N249">
        <f>COUNTIF(Questions!D:D,Nombre!M251)</f>
        <v>2</v>
      </c>
    </row>
    <row r="250" spans="13:14" x14ac:dyDescent="0.25">
      <c r="M250" s="45" t="s">
        <v>747</v>
      </c>
      <c r="N250">
        <f>COUNTIF(Questions!D:D,Nombre!M252)</f>
        <v>2</v>
      </c>
    </row>
    <row r="251" spans="13:14" x14ac:dyDescent="0.25">
      <c r="M251" s="8" t="s">
        <v>750</v>
      </c>
      <c r="N251">
        <f>COUNTIF(Questions!D:D,Nombre!M253)</f>
        <v>2</v>
      </c>
    </row>
    <row r="252" spans="13:14" x14ac:dyDescent="0.25">
      <c r="M252" s="24" t="s">
        <v>753</v>
      </c>
      <c r="N252">
        <f>COUNTIF(Questions!D:D,Nombre!M254)</f>
        <v>2</v>
      </c>
    </row>
    <row r="253" spans="13:14" x14ac:dyDescent="0.25">
      <c r="M253" s="54" t="s">
        <v>760</v>
      </c>
      <c r="N253">
        <f>COUNTIF(Questions!D:D,Nombre!M255)</f>
        <v>2</v>
      </c>
    </row>
    <row r="254" spans="13:14" x14ac:dyDescent="0.25">
      <c r="M254" s="48" t="s">
        <v>763</v>
      </c>
      <c r="N254">
        <f>COUNTIF(Questions!D:D,Nombre!M256)</f>
        <v>2</v>
      </c>
    </row>
    <row r="255" spans="13:14" x14ac:dyDescent="0.25">
      <c r="M255" s="51" t="s">
        <v>766</v>
      </c>
      <c r="N255">
        <f>COUNTIF(Questions!D:D,Nombre!M257)</f>
        <v>2</v>
      </c>
    </row>
    <row r="256" spans="13:14" x14ac:dyDescent="0.25">
      <c r="M256" s="27" t="s">
        <v>769</v>
      </c>
      <c r="N256">
        <f>COUNTIF(Questions!D:D,Nombre!M258)</f>
        <v>2</v>
      </c>
    </row>
    <row r="257" spans="13:14" x14ac:dyDescent="0.25">
      <c r="M257" s="51" t="s">
        <v>775</v>
      </c>
      <c r="N257">
        <f>COUNTIF(Questions!D:D,Nombre!M259)</f>
        <v>0</v>
      </c>
    </row>
    <row r="258" spans="13:14" x14ac:dyDescent="0.25">
      <c r="M258" s="45" t="s">
        <v>772</v>
      </c>
      <c r="N258">
        <f>COUNTIF(Questions!D:D,Nombre!M260)</f>
        <v>0</v>
      </c>
    </row>
    <row r="259" spans="13:14" x14ac:dyDescent="0.25">
      <c r="M259" s="36" t="s">
        <v>1061</v>
      </c>
      <c r="N259">
        <f>COUNTIF(Questions!D:D,Nombre!M261)</f>
        <v>2</v>
      </c>
    </row>
    <row r="260" spans="13:14" x14ac:dyDescent="0.25">
      <c r="M260" s="18" t="s">
        <v>1062</v>
      </c>
      <c r="N260">
        <f>COUNTIF(Questions!D:D,Nombre!M262)</f>
        <v>2</v>
      </c>
    </row>
    <row r="261" spans="13:14" x14ac:dyDescent="0.25">
      <c r="M261" s="54" t="s">
        <v>778</v>
      </c>
      <c r="N261">
        <f>COUNTIF(Questions!D:D,Nombre!M263)</f>
        <v>2</v>
      </c>
    </row>
    <row r="262" spans="13:14" x14ac:dyDescent="0.25">
      <c r="M262" s="54" t="s">
        <v>784</v>
      </c>
      <c r="N262">
        <f>COUNTIF(Questions!D:D,Nombre!M26)</f>
        <v>2</v>
      </c>
    </row>
    <row r="263" spans="13:14" x14ac:dyDescent="0.25">
      <c r="M263" s="21" t="s">
        <v>787</v>
      </c>
      <c r="N263">
        <f>COUNTIF(Questions!D:D,Nombre!M264)</f>
        <v>2</v>
      </c>
    </row>
    <row r="264" spans="13:14" x14ac:dyDescent="0.25">
      <c r="M264" s="24" t="s">
        <v>790</v>
      </c>
      <c r="N264">
        <f>COUNTIF(Questions!D:D,Nombre!M265)</f>
        <v>0</v>
      </c>
    </row>
    <row r="265" spans="13:14" x14ac:dyDescent="0.25">
      <c r="M265" s="21" t="s">
        <v>1063</v>
      </c>
      <c r="N265">
        <f>COUNTIF(Questions!D:D,Nombre!M266)</f>
        <v>2</v>
      </c>
    </row>
    <row r="266" spans="13:14" x14ac:dyDescent="0.25">
      <c r="M266" s="30" t="s">
        <v>799</v>
      </c>
      <c r="N266">
        <f>COUNTIF(Questions!D:D,Nombre!M267)</f>
        <v>2</v>
      </c>
    </row>
    <row r="267" spans="13:14" x14ac:dyDescent="0.25">
      <c r="M267" s="54" t="s">
        <v>802</v>
      </c>
      <c r="N267">
        <f>COUNTIF(Questions!D:D,Nombre!M268)</f>
        <v>2</v>
      </c>
    </row>
    <row r="268" spans="13:14" x14ac:dyDescent="0.25">
      <c r="M268" s="18" t="s">
        <v>805</v>
      </c>
      <c r="N268">
        <f>COUNTIF(Questions!D:D,Nombre!M269)</f>
        <v>2</v>
      </c>
    </row>
    <row r="269" spans="13:14" x14ac:dyDescent="0.25">
      <c r="M269" s="24" t="s">
        <v>808</v>
      </c>
      <c r="N269">
        <f>COUNTIF(Questions!D:D,Nombre!M270)</f>
        <v>0</v>
      </c>
    </row>
    <row r="270" spans="13:14" x14ac:dyDescent="0.25">
      <c r="M270" s="27" t="s">
        <v>1064</v>
      </c>
      <c r="N270">
        <f>COUNTIF(Questions!D:D,Nombre!M271)</f>
        <v>2</v>
      </c>
    </row>
    <row r="271" spans="13:14" x14ac:dyDescent="0.25">
      <c r="M271" s="27" t="s">
        <v>814</v>
      </c>
      <c r="N271">
        <f>COUNTIF(Questions!D:D,Nombre!M272)</f>
        <v>2</v>
      </c>
    </row>
    <row r="272" spans="13:14" x14ac:dyDescent="0.25">
      <c r="M272" s="54" t="s">
        <v>972</v>
      </c>
      <c r="N272">
        <f>COUNTIF(Questions!D:D,Nombre!M273)</f>
        <v>0</v>
      </c>
    </row>
    <row r="273" spans="13:14" x14ac:dyDescent="0.25">
      <c r="M273" s="54" t="s">
        <v>1065</v>
      </c>
      <c r="N273">
        <f>COUNTIF(Questions!D:D,Nombre!M274)</f>
        <v>0</v>
      </c>
    </row>
    <row r="274" spans="13:14" x14ac:dyDescent="0.25">
      <c r="M274" s="48" t="s">
        <v>1066</v>
      </c>
      <c r="N274">
        <f>COUNTIF(Questions!D:D,Nombre!M275)</f>
        <v>2</v>
      </c>
    </row>
    <row r="275" spans="13:14" x14ac:dyDescent="0.25">
      <c r="M275" s="48" t="s">
        <v>820</v>
      </c>
      <c r="N275">
        <f>COUNTIF(Questions!D:D,Nombre!M276)</f>
        <v>2</v>
      </c>
    </row>
    <row r="276" spans="13:14" x14ac:dyDescent="0.25">
      <c r="M276" s="51" t="s">
        <v>823</v>
      </c>
      <c r="N276">
        <f>COUNTIF(Questions!D:D,Nombre!M277)</f>
        <v>0</v>
      </c>
    </row>
    <row r="277" spans="13:14" x14ac:dyDescent="0.25">
      <c r="M277" s="27" t="s">
        <v>1067</v>
      </c>
      <c r="N277">
        <f>COUNTIF(Questions!D:D,Nombre!M278)</f>
        <v>2</v>
      </c>
    </row>
    <row r="278" spans="13:14" x14ac:dyDescent="0.25">
      <c r="M278" s="27" t="s">
        <v>871</v>
      </c>
      <c r="N278">
        <f>COUNTIF(Questions!D:D,Nombre!M279)</f>
        <v>2</v>
      </c>
    </row>
    <row r="279" spans="13:14" x14ac:dyDescent="0.25">
      <c r="M279" s="39" t="s">
        <v>832</v>
      </c>
      <c r="N279">
        <f>COUNTIF(Questions!D:D,Nombre!M280)</f>
        <v>2</v>
      </c>
    </row>
    <row r="280" spans="13:14" x14ac:dyDescent="0.25">
      <c r="M280" s="54" t="s">
        <v>835</v>
      </c>
      <c r="N280">
        <f>COUNTIF(Questions!D:D,Nombre!M281)</f>
        <v>2</v>
      </c>
    </row>
    <row r="281" spans="13:14" x14ac:dyDescent="0.25">
      <c r="M281" s="21" t="s">
        <v>838</v>
      </c>
      <c r="N281">
        <f>COUNTIF(Questions!D:D,Nombre!M282)</f>
        <v>0</v>
      </c>
    </row>
    <row r="282" spans="13:14" x14ac:dyDescent="0.25">
      <c r="M282" s="30" t="s">
        <v>1068</v>
      </c>
      <c r="N282">
        <f>COUNTIF(Questions!D:D,Nombre!M283)</f>
        <v>2</v>
      </c>
    </row>
    <row r="283" spans="13:14" x14ac:dyDescent="0.25">
      <c r="M283" s="42" t="s">
        <v>841</v>
      </c>
      <c r="N283">
        <f>COUNTIF(Questions!D:D,Nombre!M284)</f>
        <v>2</v>
      </c>
    </row>
    <row r="284" spans="13:14" x14ac:dyDescent="0.25">
      <c r="M284" s="45" t="s">
        <v>844</v>
      </c>
      <c r="N284">
        <f>COUNTIF(Questions!D:D,Nombre!M285)</f>
        <v>0</v>
      </c>
    </row>
    <row r="285" spans="13:14" x14ac:dyDescent="0.25">
      <c r="M285" s="42" t="s">
        <v>1069</v>
      </c>
      <c r="N285">
        <f>COUNTIF(Questions!D:D,Nombre!M286)</f>
        <v>2</v>
      </c>
    </row>
    <row r="286" spans="13:14" x14ac:dyDescent="0.25">
      <c r="M286" s="36" t="s">
        <v>850</v>
      </c>
      <c r="N286">
        <f>COUNTIF(Questions!D:D,Nombre!M287)</f>
        <v>2</v>
      </c>
    </row>
    <row r="287" spans="13:14" x14ac:dyDescent="0.25">
      <c r="M287" s="30" t="s">
        <v>853</v>
      </c>
      <c r="N287">
        <f>COUNTIF(Questions!D:D,Nombre!M288)</f>
        <v>0</v>
      </c>
    </row>
    <row r="288" spans="13:14" x14ac:dyDescent="0.25">
      <c r="M288" s="30" t="s">
        <v>1070</v>
      </c>
      <c r="N288">
        <f>COUNTIF(Questions!D:D,Nombre!M289)</f>
        <v>2</v>
      </c>
    </row>
    <row r="289" spans="13:14" x14ac:dyDescent="0.25">
      <c r="M289" s="24" t="s">
        <v>858</v>
      </c>
      <c r="N289">
        <f>COUNTIF(Questions!D:D,Nombre!M290)</f>
        <v>2</v>
      </c>
    </row>
    <row r="290" spans="13:14" x14ac:dyDescent="0.25">
      <c r="M290" s="27" t="s">
        <v>861</v>
      </c>
      <c r="N290">
        <f>COUNTIF(Questions!D:D,Nombre!M291)</f>
        <v>2</v>
      </c>
    </row>
    <row r="291" spans="13:14" x14ac:dyDescent="0.25">
      <c r="M291" s="39" t="s">
        <v>865</v>
      </c>
      <c r="N291">
        <f>COUNTIF(Questions!D:D,Nombre!M292)</f>
        <v>2</v>
      </c>
    </row>
    <row r="292" spans="13:14" x14ac:dyDescent="0.25">
      <c r="M292" s="30" t="s">
        <v>868</v>
      </c>
      <c r="N292">
        <f>COUNTIF(Questions!D:D,Nombre!M293)</f>
        <v>2</v>
      </c>
    </row>
    <row r="293" spans="13:14" x14ac:dyDescent="0.25">
      <c r="M293" s="27" t="s">
        <v>889</v>
      </c>
      <c r="N293">
        <f>COUNTIF(Questions!D:D,Nombre!M294)</f>
        <v>2</v>
      </c>
    </row>
    <row r="294" spans="13:14" x14ac:dyDescent="0.25">
      <c r="M294" s="30" t="s">
        <v>874</v>
      </c>
      <c r="N294">
        <f>COUNTIF(Questions!D:D,Nombre!M295)</f>
        <v>2</v>
      </c>
    </row>
    <row r="295" spans="13:14" x14ac:dyDescent="0.25">
      <c r="M295" s="39" t="s">
        <v>877</v>
      </c>
      <c r="N295">
        <f>COUNTIF(Questions!D:D,Nombre!M296)</f>
        <v>0</v>
      </c>
    </row>
    <row r="296" spans="13:14" x14ac:dyDescent="0.25">
      <c r="M296" s="18" t="s">
        <v>1071</v>
      </c>
      <c r="N296">
        <f>COUNTIF(Questions!D:D,Nombre!M83)</f>
        <v>2</v>
      </c>
    </row>
    <row r="297" spans="13:14" x14ac:dyDescent="0.25">
      <c r="M297" s="42" t="s">
        <v>883</v>
      </c>
      <c r="N297">
        <f>COUNTIF(Questions!D:D,Nombre!M297)</f>
        <v>2</v>
      </c>
    </row>
    <row r="298" spans="13:14" x14ac:dyDescent="0.25">
      <c r="M298" s="15" t="s">
        <v>886</v>
      </c>
      <c r="N298">
        <f>COUNTIF(Questions!D:D,Nombre!M298)</f>
        <v>2</v>
      </c>
    </row>
    <row r="299" spans="13:14" x14ac:dyDescent="0.25">
      <c r="M299" s="27" t="s">
        <v>911</v>
      </c>
      <c r="N299">
        <f>COUNTIF(Questions!D:D,Nombre!M299)</f>
        <v>2</v>
      </c>
    </row>
    <row r="300" spans="13:14" x14ac:dyDescent="0.25">
      <c r="M300" s="51" t="s">
        <v>1072</v>
      </c>
      <c r="N300">
        <f>COUNTIF(Questions!D:D,Nombre!M300)</f>
        <v>0</v>
      </c>
    </row>
    <row r="301" spans="13:14" x14ac:dyDescent="0.25">
      <c r="M301" s="51" t="s">
        <v>893</v>
      </c>
      <c r="N301">
        <f>COUNTIF(Questions!D:D,Nombre!M301)</f>
        <v>2</v>
      </c>
    </row>
    <row r="302" spans="13:14" x14ac:dyDescent="0.25">
      <c r="M302" s="11" t="s">
        <v>896</v>
      </c>
      <c r="N302">
        <f>COUNTIF(Questions!D:D,Nombre!M302)</f>
        <v>2</v>
      </c>
    </row>
    <row r="303" spans="13:14" x14ac:dyDescent="0.25">
      <c r="M303" s="30" t="s">
        <v>1073</v>
      </c>
      <c r="N303">
        <f>COUNTIF(Questions!D:D,Nombre!M303)</f>
        <v>0</v>
      </c>
    </row>
    <row r="304" spans="13:14" x14ac:dyDescent="0.25">
      <c r="M304" s="39" t="s">
        <v>902</v>
      </c>
      <c r="N304">
        <f>COUNTIF(Questions!D:D,Nombre!M304)</f>
        <v>2</v>
      </c>
    </row>
    <row r="305" spans="13:14" x14ac:dyDescent="0.25">
      <c r="M305" s="21" t="s">
        <v>905</v>
      </c>
      <c r="N305">
        <f>COUNTIF(Questions!D:D,Nombre!M305)</f>
        <v>2</v>
      </c>
    </row>
    <row r="306" spans="13:14" x14ac:dyDescent="0.25">
      <c r="M306" s="51" t="s">
        <v>908</v>
      </c>
      <c r="N306">
        <f>COUNTIF(Questions!D:D,Nombre!M306)</f>
        <v>2</v>
      </c>
    </row>
    <row r="307" spans="13:14" x14ac:dyDescent="0.25">
      <c r="M307" s="27" t="s">
        <v>1074</v>
      </c>
      <c r="N307">
        <f>COUNTIF(Questions!D:D,Nombre!M307)</f>
        <v>0</v>
      </c>
    </row>
    <row r="308" spans="13:14" x14ac:dyDescent="0.25">
      <c r="M308" s="27" t="s">
        <v>926</v>
      </c>
      <c r="N308">
        <f>COUNTIF(Questions!D:D,Nombre!M308)</f>
        <v>2</v>
      </c>
    </row>
    <row r="309" spans="13:14" x14ac:dyDescent="0.25">
      <c r="M309" s="8" t="s">
        <v>914</v>
      </c>
      <c r="N309">
        <f>COUNTIF(Questions!D:D,Nombre!M309)</f>
        <v>2</v>
      </c>
    </row>
    <row r="310" spans="13:14" x14ac:dyDescent="0.25">
      <c r="M310" s="45" t="s">
        <v>917</v>
      </c>
      <c r="N310">
        <f>COUNTIF(Questions!D:D,Nombre!M310)</f>
        <v>2</v>
      </c>
    </row>
    <row r="311" spans="13:14" x14ac:dyDescent="0.25">
      <c r="M311" s="8" t="s">
        <v>920</v>
      </c>
      <c r="N311">
        <f>COUNTIF(Questions!D:D,Nombre!M311)</f>
        <v>2</v>
      </c>
    </row>
    <row r="312" spans="13:14" x14ac:dyDescent="0.25">
      <c r="M312" s="51" t="s">
        <v>923</v>
      </c>
      <c r="N312">
        <f>COUNTIF(Questions!D:D,Nombre!M312)</f>
        <v>2</v>
      </c>
    </row>
    <row r="313" spans="13:14" x14ac:dyDescent="0.25">
      <c r="M313" s="27" t="s">
        <v>965</v>
      </c>
      <c r="N313">
        <f>COUNTIF(Questions!D:D,Nombre!M313)</f>
        <v>2</v>
      </c>
    </row>
    <row r="314" spans="13:14" x14ac:dyDescent="0.25">
      <c r="M314" s="87"/>
    </row>
  </sheetData>
  <autoFilter ref="M1:N313" xr:uid="{00000000-0009-0000-0000-000001000000}">
    <sortState xmlns:xlrd2="http://schemas.microsoft.com/office/spreadsheetml/2017/richdata2" ref="M2:N313">
      <sortCondition ref="M1:M3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88BD-DCB7-4481-8F66-90029E994E6E}">
  <dimension ref="A1:C16"/>
  <sheetViews>
    <sheetView workbookViewId="0">
      <selection activeCell="A17" sqref="A17"/>
    </sheetView>
  </sheetViews>
  <sheetFormatPr baseColWidth="10" defaultRowHeight="15" x14ac:dyDescent="0.25"/>
  <sheetData>
    <row r="1" spans="1:3" x14ac:dyDescent="0.25">
      <c r="A1" s="91" t="s">
        <v>1115</v>
      </c>
      <c r="B1" s="91"/>
      <c r="C1" s="91"/>
    </row>
    <row r="2" spans="1:3" x14ac:dyDescent="0.25">
      <c r="A2" s="93" t="s">
        <v>1116</v>
      </c>
      <c r="B2" s="92"/>
      <c r="C2" s="92"/>
    </row>
    <row r="3" spans="1:3" x14ac:dyDescent="0.25">
      <c r="A3" s="93" t="s">
        <v>1117</v>
      </c>
      <c r="B3" s="92"/>
      <c r="C3" s="92"/>
    </row>
    <row r="4" spans="1:3" x14ac:dyDescent="0.25">
      <c r="A4" s="93" t="s">
        <v>1118</v>
      </c>
      <c r="B4" s="92"/>
      <c r="C4" s="92"/>
    </row>
    <row r="5" spans="1:3" x14ac:dyDescent="0.25">
      <c r="A5" s="93" t="s">
        <v>1119</v>
      </c>
      <c r="B5" s="92"/>
      <c r="C5" s="92"/>
    </row>
    <row r="6" spans="1:3" x14ac:dyDescent="0.25">
      <c r="A6" s="93" t="s">
        <v>1120</v>
      </c>
      <c r="B6" s="92"/>
      <c r="C6" s="92"/>
    </row>
    <row r="7" spans="1:3" x14ac:dyDescent="0.25">
      <c r="A7" s="93" t="s">
        <v>1121</v>
      </c>
      <c r="B7" s="92"/>
      <c r="C7" s="92"/>
    </row>
    <row r="8" spans="1:3" x14ac:dyDescent="0.25">
      <c r="A8" s="93" t="s">
        <v>1122</v>
      </c>
      <c r="B8" s="92"/>
      <c r="C8" s="92"/>
    </row>
    <row r="9" spans="1:3" x14ac:dyDescent="0.25">
      <c r="A9" s="93" t="s">
        <v>1123</v>
      </c>
      <c r="B9" s="92"/>
      <c r="C9" s="92"/>
    </row>
    <row r="10" spans="1:3" x14ac:dyDescent="0.25">
      <c r="A10" s="93" t="s">
        <v>1124</v>
      </c>
      <c r="B10" s="92"/>
      <c r="C10" s="92"/>
    </row>
    <row r="11" spans="1:3" x14ac:dyDescent="0.25">
      <c r="A11" s="93" t="s">
        <v>1125</v>
      </c>
      <c r="B11" s="92"/>
      <c r="C11" s="92"/>
    </row>
    <row r="12" spans="1:3" x14ac:dyDescent="0.25">
      <c r="A12" s="93" t="s">
        <v>1126</v>
      </c>
      <c r="B12" s="92"/>
      <c r="C12" s="92"/>
    </row>
    <row r="13" spans="1:3" x14ac:dyDescent="0.25">
      <c r="A13" s="93" t="s">
        <v>1127</v>
      </c>
      <c r="B13" s="92"/>
      <c r="C13" s="92"/>
    </row>
    <row r="14" spans="1:3" x14ac:dyDescent="0.25">
      <c r="A14" s="93" t="s">
        <v>1128</v>
      </c>
      <c r="B14" s="92"/>
      <c r="C14" s="92"/>
    </row>
    <row r="15" spans="1:3" x14ac:dyDescent="0.25">
      <c r="A15" s="93" t="s">
        <v>1129</v>
      </c>
      <c r="B15" s="92"/>
      <c r="C15" s="92"/>
    </row>
    <row r="16" spans="1:3" x14ac:dyDescent="0.25">
      <c r="A16" s="93"/>
      <c r="B16" s="92"/>
      <c r="C16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C2" sqref="C2"/>
    </sheetView>
  </sheetViews>
  <sheetFormatPr baseColWidth="10" defaultColWidth="8.7109375" defaultRowHeight="15" x14ac:dyDescent="0.25"/>
  <cols>
    <col min="1" max="1" width="28" customWidth="1"/>
    <col min="2" max="2" width="16" customWidth="1"/>
    <col min="3" max="3" width="14" customWidth="1"/>
  </cols>
  <sheetData>
    <row r="1" spans="1:3" x14ac:dyDescent="0.25">
      <c r="A1" s="55" t="s">
        <v>2</v>
      </c>
      <c r="B1" s="55" t="s">
        <v>1075</v>
      </c>
      <c r="C1" s="55" t="s">
        <v>1076</v>
      </c>
    </row>
    <row r="2" spans="1:3" x14ac:dyDescent="0.25">
      <c r="A2" s="56" t="s">
        <v>27</v>
      </c>
      <c r="B2" s="57">
        <v>44</v>
      </c>
      <c r="C2" s="57">
        <v>23</v>
      </c>
    </row>
    <row r="3" spans="1:3" x14ac:dyDescent="0.25">
      <c r="A3" s="58" t="s">
        <v>43</v>
      </c>
      <c r="B3" s="59">
        <v>30</v>
      </c>
      <c r="C3" s="59">
        <v>17</v>
      </c>
    </row>
    <row r="4" spans="1:3" x14ac:dyDescent="0.25">
      <c r="A4" s="60" t="s">
        <v>1077</v>
      </c>
      <c r="B4" s="61">
        <v>27</v>
      </c>
      <c r="C4" s="61">
        <v>14</v>
      </c>
    </row>
    <row r="5" spans="1:3" x14ac:dyDescent="0.25">
      <c r="A5" s="62" t="s">
        <v>1078</v>
      </c>
      <c r="B5" s="63">
        <v>27</v>
      </c>
      <c r="C5" s="63">
        <v>14</v>
      </c>
    </row>
    <row r="6" spans="1:3" x14ac:dyDescent="0.25">
      <c r="A6" s="64" t="s">
        <v>10</v>
      </c>
      <c r="B6" s="65">
        <v>33</v>
      </c>
      <c r="C6" s="65">
        <v>17</v>
      </c>
    </row>
    <row r="7" spans="1:3" x14ac:dyDescent="0.25">
      <c r="A7" s="66" t="s">
        <v>115</v>
      </c>
      <c r="B7" s="67">
        <v>113</v>
      </c>
      <c r="C7" s="67">
        <v>57</v>
      </c>
    </row>
    <row r="8" spans="1:3" x14ac:dyDescent="0.25">
      <c r="A8" s="68" t="s">
        <v>1079</v>
      </c>
      <c r="B8" s="69">
        <v>47</v>
      </c>
      <c r="C8" s="69">
        <v>24</v>
      </c>
    </row>
    <row r="9" spans="1:3" x14ac:dyDescent="0.25">
      <c r="A9" s="70" t="s">
        <v>1080</v>
      </c>
      <c r="B9" s="71">
        <v>22</v>
      </c>
      <c r="C9" s="71">
        <v>11</v>
      </c>
    </row>
    <row r="10" spans="1:3" x14ac:dyDescent="0.25">
      <c r="A10" s="72" t="s">
        <v>1081</v>
      </c>
      <c r="B10" s="73">
        <v>18</v>
      </c>
      <c r="C10" s="73">
        <v>10</v>
      </c>
    </row>
    <row r="11" spans="1:3" x14ac:dyDescent="0.25">
      <c r="A11" s="74" t="s">
        <v>1082</v>
      </c>
      <c r="B11" s="75">
        <v>98</v>
      </c>
      <c r="C11" s="75">
        <v>49</v>
      </c>
    </row>
    <row r="12" spans="1:3" x14ac:dyDescent="0.25">
      <c r="A12" s="76" t="s">
        <v>78</v>
      </c>
      <c r="B12" s="77">
        <v>49</v>
      </c>
      <c r="C12" s="77">
        <v>26</v>
      </c>
    </row>
    <row r="13" spans="1:3" x14ac:dyDescent="0.25">
      <c r="A13" s="78" t="s">
        <v>6</v>
      </c>
      <c r="B13" s="79">
        <v>94</v>
      </c>
      <c r="C13" s="79">
        <v>49</v>
      </c>
    </row>
    <row r="14" spans="1:3" x14ac:dyDescent="0.25">
      <c r="A14" s="80" t="s">
        <v>1083</v>
      </c>
      <c r="B14" s="81">
        <v>29</v>
      </c>
      <c r="C14" s="81">
        <v>15</v>
      </c>
    </row>
    <row r="15" spans="1:3" x14ac:dyDescent="0.25">
      <c r="A15" s="82" t="s">
        <v>1084</v>
      </c>
      <c r="B15" s="83">
        <v>27</v>
      </c>
      <c r="C15" s="83">
        <v>14</v>
      </c>
    </row>
    <row r="16" spans="1:3" x14ac:dyDescent="0.25">
      <c r="A16" s="84" t="s">
        <v>1085</v>
      </c>
      <c r="B16" s="85">
        <v>47</v>
      </c>
      <c r="C16" s="85">
        <v>24</v>
      </c>
    </row>
    <row r="17" spans="1:3" x14ac:dyDescent="0.25">
      <c r="A17" s="86" t="s">
        <v>1086</v>
      </c>
      <c r="B17" s="86">
        <v>705</v>
      </c>
      <c r="C17" s="86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Questions</vt:lpstr>
      <vt:lpstr>Nombre</vt:lpstr>
      <vt:lpstr>Noms Themes et Grilles</vt:lpstr>
      <vt:lpstr>📊 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Deivassagayame, Sylvain (MS CS EL) - AF</cp:lastModifiedBy>
  <dcterms:created xsi:type="dcterms:W3CDTF">2026-03-30T14:34:27Z</dcterms:created>
  <dcterms:modified xsi:type="dcterms:W3CDTF">2026-04-26T10:40:02Z</dcterms:modified>
</cp:coreProperties>
</file>