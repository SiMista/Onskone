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427222\Downloads\"/>
    </mc:Choice>
  </mc:AlternateContent>
  <xr:revisionPtr revIDLastSave="0" documentId="13_ncr:1_{180C6307-1AC9-4D76-8FDF-E3D82E1A74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uestions" sheetId="1" r:id="rId1"/>
    <sheet name="Nombre" sheetId="2" r:id="rId2"/>
    <sheet name="Noms Themes" sheetId="5" r:id="rId3"/>
    <sheet name="📊 Résumé" sheetId="4" state="hidden" r:id="rId4"/>
  </sheets>
  <definedNames>
    <definedName name="_xlnm._FilterDatabase" localSheetId="1" hidden="1">Nombre!$M$1:$N$313</definedName>
    <definedName name="_xlnm._FilterDatabase" localSheetId="0" hidden="1">Questions!$A$1:$J$681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2" i="1"/>
  <c r="E2" i="1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C17" i="2"/>
  <c r="N16" i="2"/>
  <c r="C16" i="2"/>
  <c r="N15" i="2"/>
  <c r="C15" i="2"/>
  <c r="N14" i="2"/>
  <c r="C14" i="2"/>
  <c r="N13" i="2"/>
  <c r="C13" i="2"/>
  <c r="N12" i="2"/>
  <c r="C12" i="2"/>
  <c r="N11" i="2"/>
  <c r="C11" i="2"/>
  <c r="N10" i="2"/>
  <c r="C10" i="2"/>
  <c r="N9" i="2"/>
  <c r="C9" i="2"/>
  <c r="N8" i="2"/>
  <c r="C8" i="2"/>
  <c r="N7" i="2"/>
  <c r="C7" i="2"/>
  <c r="N6" i="2"/>
  <c r="C6" i="2"/>
  <c r="N5" i="2"/>
  <c r="C5" i="2"/>
  <c r="N4" i="2"/>
  <c r="F4" i="2"/>
  <c r="C4" i="2"/>
  <c r="N3" i="2"/>
  <c r="F3" i="2"/>
  <c r="C3" i="2"/>
  <c r="N2" i="2"/>
  <c r="F2" i="2"/>
  <c r="C2" i="2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G3" i="2" l="1"/>
  <c r="C18" i="2"/>
  <c r="G4" i="2"/>
  <c r="G2" i="2"/>
</calcChain>
</file>

<file path=xl/sharedStrings.xml><?xml version="1.0" encoding="utf-8"?>
<sst xmlns="http://schemas.openxmlformats.org/spreadsheetml/2006/main" count="4556" uniqueCount="2183">
  <si>
    <t>Question</t>
  </si>
  <si>
    <t>Le Tip !</t>
  </si>
  <si>
    <t>Thème</t>
  </si>
  <si>
    <t>Sujet</t>
  </si>
  <si>
    <t>Question Anglais</t>
  </si>
  <si>
    <t>Theme</t>
  </si>
  <si>
    <t>Remarques de Boubou</t>
  </si>
  <si>
    <t>Quelle est la première pensée que tu as au réveil la majorité des matins ?</t>
  </si>
  <si>
    <t>QUOTIDIEN</t>
  </si>
  <si>
    <t>Matin</t>
  </si>
  <si>
    <t>What's the first thought that goes through your mind when you wake up most mornings?</t>
  </si>
  <si>
    <t>DAILY LIFE</t>
  </si>
  <si>
    <t>Morning Routine</t>
  </si>
  <si>
    <t>Si tu pouvais changer une chose dans ta routine matinale actuelle, ce serait quoi ?</t>
  </si>
  <si>
    <t>If you could change one thing about your current morning routine, what would it be?</t>
  </si>
  <si>
    <t>Quelle est la personne la plus intelligente du groupe ?</t>
  </si>
  <si>
    <t>ENTRE NOUS</t>
  </si>
  <si>
    <t>Meilleurs</t>
  </si>
  <si>
    <t>Who's the most intelligent person in the group?</t>
  </si>
  <si>
    <t>BETWEEN US</t>
  </si>
  <si>
    <t>Best In Group</t>
  </si>
  <si>
    <t>Qui est la personne la plus drôle du groupe ?</t>
  </si>
  <si>
    <t>Who's the funniest person in the group?</t>
  </si>
  <si>
    <t>Y a-t-il un moment de ta vie dont tu n'as aucun souvenir mais qu'on t'a souvent raconté ?</t>
  </si>
  <si>
    <t>RETOUR EN ARRIERE</t>
  </si>
  <si>
    <t>Moments de vie</t>
  </si>
  <si>
    <t>Is there a moment in your life you have no memory of, but that people have told you about many times?</t>
  </si>
  <si>
    <t>BACK IN THE DAY</t>
  </si>
  <si>
    <t>Life Moments</t>
  </si>
  <si>
    <t>Quel moment de vie prenais-tu pour acquis et ne te satisfait pas, avant de te rendre compte qu'il était vraiment unique ?</t>
  </si>
  <si>
    <t>What moment did you take for granted, only to later realize it was truly unique?</t>
  </si>
  <si>
    <t>Quelle qualité partages tu avec ton voisin de gauche ?</t>
  </si>
  <si>
    <t>Partage</t>
  </si>
  <si>
    <t>What quality do you share with the person on your left?</t>
  </si>
  <si>
    <t>Sharing</t>
  </si>
  <si>
    <t>Si tu devais offrir un cadeau à ton voisin de gauche, que lui donnerais-tu ?</t>
  </si>
  <si>
    <t>If you had to give a gift to the person on your left, what would you give them?</t>
  </si>
  <si>
    <t>Quel est ton sens le plus développé ?</t>
  </si>
  <si>
    <t>5 sens</t>
  </si>
  <si>
    <t>Which of your five senses is the most developed?</t>
  </si>
  <si>
    <t>The 5 Senses</t>
  </si>
  <si>
    <t>Si tu perdais un sens pour toujours, lequel choisis-tu de sacrifier ?</t>
  </si>
  <si>
    <t>If you had to lose one sense forever, which one would you sacrifice?</t>
  </si>
  <si>
    <t>Quel est le mot qui résume toute ta période scolaire ?</t>
  </si>
  <si>
    <t>A l'école</t>
  </si>
  <si>
    <t>What one word sums up your entire school life?</t>
  </si>
  <si>
    <t>School Days</t>
  </si>
  <si>
    <t>Quelle était ta matière préférée à l'école ?</t>
  </si>
  <si>
    <t>What was your favorite subject at school?</t>
  </si>
  <si>
    <t>Si tu gagnais à la loterie, quel serait ton premier achat ?</t>
  </si>
  <si>
    <t>AMBITIONS</t>
  </si>
  <si>
    <t>Achats</t>
  </si>
  <si>
    <t>If you won the lottery, what would be your first purchase?</t>
  </si>
  <si>
    <t>Big Purchases</t>
  </si>
  <si>
    <t>Quelle est la chose la plus chère que tu possèdes en terme de prix ?</t>
  </si>
  <si>
    <t>What's the most expensive thing you own?</t>
  </si>
  <si>
    <t>Quelle est l’activité manuelle que tu essayes d'apprendre actuellement ?</t>
  </si>
  <si>
    <t>PASSIONS &amp; ACTIVITES</t>
  </si>
  <si>
    <t>Activité</t>
  </si>
  <si>
    <t>What manual skill are you currently trying to learn?</t>
  </si>
  <si>
    <t>Activities</t>
  </si>
  <si>
    <t>Quelle est l'activité qui te détend totalement ?</t>
  </si>
  <si>
    <t>What activity completely relaxes you?</t>
  </si>
  <si>
    <t>Quelle est la célébrité que tu trouves le plus BG ?</t>
  </si>
  <si>
    <t>CINE &amp; MUSIQUE</t>
  </si>
  <si>
    <t>Admirateur</t>
  </si>
  <si>
    <t>Which celebrity do you find the most attractive?</t>
  </si>
  <si>
    <t>MOVIES &amp; MUSIC</t>
  </si>
  <si>
    <t>Celebrity Crush</t>
  </si>
  <si>
    <t>Si tu pouvais être n’importe quelle célébrité pendant une journée, qui serais-tu ?</t>
  </si>
  <si>
    <t>If you could be any celebrity for a day, who would you be?</t>
  </si>
  <si>
    <t>Décris l'ambiance de soirée parfaite pour toi en trois éléments précis.</t>
  </si>
  <si>
    <t>VOYAGES &amp; SORTIE</t>
  </si>
  <si>
    <t>Ambiance</t>
  </si>
  <si>
    <t>Describe your perfect party atmosphere in three specific elements.</t>
  </si>
  <si>
    <t>Vibes</t>
  </si>
  <si>
    <t>Quelle est l'ambiance musicale que tu mets quand tu veux mettre tout le monde de bonne humeur ?</t>
  </si>
  <si>
    <t>What music do you put on when you want to get everyone in a good mood?</t>
  </si>
  <si>
    <t>Y a-t-il quelqu'un que tu as perdu de vue et que tu aimerais retrouver demain ?</t>
  </si>
  <si>
    <t>AMIS &amp; FAMILLE</t>
  </si>
  <si>
    <t>Amis perdus</t>
  </si>
  <si>
    <t>Is there someone you've lost touch with and would love to reconnect with tomorrow?</t>
  </si>
  <si>
    <t>Lost Friends</t>
  </si>
  <si>
    <t>Quelle amitié terminée t'a appris quelque chose d'important sur toi ?</t>
  </si>
  <si>
    <t>What ended friendship taught you something important about yourself?</t>
  </si>
  <si>
    <t>Quelle est la chose la plus folle que tu aies faite pour un ami ?</t>
  </si>
  <si>
    <t>Amitié proche</t>
  </si>
  <si>
    <t>What's the craziest thing you've done for a friend?</t>
  </si>
  <si>
    <t>Close Friends</t>
  </si>
  <si>
    <t>Quelle est ton activité préférée avec tes amis ?</t>
  </si>
  <si>
    <t>What's your favorite activity to do with your friends?</t>
  </si>
  <si>
    <t>Quelle est la chose que tu fais pour toi seul(e), sans qu'elle profite à quelqu'un d'autre ?</t>
  </si>
  <si>
    <t>EMOTIONS &amp; BIEN-ÊTRE</t>
  </si>
  <si>
    <t>Amour propre</t>
  </si>
  <si>
    <t>What do you do purely for yourself, without it benefiting anyone else?</t>
  </si>
  <si>
    <t>Self-Love</t>
  </si>
  <si>
    <t>Quel compliment tu as du mal à recevoir sans le minimiser ?</t>
  </si>
  <si>
    <t>What compliment do you struggle to accept without downplaying it?</t>
  </si>
  <si>
    <t>Si tu pouvais parler à un animal, lequel choisirais-tu ?</t>
  </si>
  <si>
    <t>Animal</t>
  </si>
  <si>
    <t>If you could talk to any animal, which one would you choose?</t>
  </si>
  <si>
    <t>Animals</t>
  </si>
  <si>
    <t>Quel animal te représente le mieux, et qu'est-ce que ça dit de toi ?</t>
  </si>
  <si>
    <t>What animal represents you best, and what does that say about you?</t>
  </si>
  <si>
    <t>Si tu pouvais avoir un animal sauvage totalement domestiqué, lequel choisirais-tu ?</t>
  </si>
  <si>
    <t>Animal de Compagnie</t>
  </si>
  <si>
    <t>If you could have any wild animal fully domesticated, which would you choose?</t>
  </si>
  <si>
    <t>Pets</t>
  </si>
  <si>
    <t>Quel est le nom de l'animal de compagnie qui t'a le plus marqué ?</t>
  </si>
  <si>
    <t>What's the name of the pet that left the biggest mark on you?</t>
  </si>
  <si>
    <t>Quel est le film d’animation qui te rappelle ton enfance ?</t>
  </si>
  <si>
    <t>Animation</t>
  </si>
  <si>
    <t>Which animated film takes you back to your childhood?</t>
  </si>
  <si>
    <t>Animated Films</t>
  </si>
  <si>
    <t>Quel est le film d'animation le plus célèbre, que tu n'as-tu jamais vu ?</t>
  </si>
  <si>
    <t>What's the most famous animated film you've never actually seen?</t>
  </si>
  <si>
    <t>Comment tu aimes fêter ton anniversaire ?</t>
  </si>
  <si>
    <t>Anniversaire</t>
  </si>
  <si>
    <t>How do you like to celebrate your birthday?</t>
  </si>
  <si>
    <t>Birthdays</t>
  </si>
  <si>
    <t>Si tu pouvais choisir ton cadeau d'anniversaire parfait cette année, ce serait quoi ?</t>
  </si>
  <si>
    <t>If you could choose your perfect birthday gift this year, what would it be?</t>
  </si>
  <si>
    <t>Qui du groupe a l'air le plus sérieux mais est en réalité le plus fou ?</t>
  </si>
  <si>
    <t>Apparences trompeuses</t>
  </si>
  <si>
    <t>Who in the group seems the most serious but is actually the most wild?</t>
  </si>
  <si>
    <t>Surprising Appearances</t>
  </si>
  <si>
    <t>Qui du groupe a l'air le plus intelligent, mais est en vrai le plus con ?</t>
  </si>
  <si>
    <t>Who in the group seems the most intelligent but is actually the least?</t>
  </si>
  <si>
    <t>Si tu pouvais concevoir ta maison idéale, comment elle serait ?</t>
  </si>
  <si>
    <t>Architecture</t>
  </si>
  <si>
    <t>If you could design your dream home, what would it look like?</t>
  </si>
  <si>
    <t>Quel est le bâtiment ou lieu que tu trouves le plus beau dans le monde ?</t>
  </si>
  <si>
    <t>What building or place do you find the most beautiful in the world?</t>
  </si>
  <si>
    <t>Si tu pouvais maîtriser parfaitement une forme d'art, laquelle choisirais-tu ?</t>
  </si>
  <si>
    <t>Art</t>
  </si>
  <si>
    <t>If you could master any art form perfectly, which one would you choose?</t>
  </si>
  <si>
    <t>Quelle œuvre d'art (tableau, sculpture, photo...) t'a un jour laissé sans voix ?</t>
  </si>
  <si>
    <t>What work of art (painting, sculpture, photo...) once left you speechless?</t>
  </si>
  <si>
    <t>Quelle est la vision de toi-même dans 10 ans que tu portes mais n'avoues à presque personne ?</t>
  </si>
  <si>
    <t>Aspirations profondes</t>
  </si>
  <si>
    <t>What vision of yourself in 10 years do you carry but almost never tell anyone?</t>
  </si>
  <si>
    <t>Deep Aspirations</t>
  </si>
  <si>
    <t>Si l'argent et le regard des autres n'existaient pas, comment passerais-tu tes journées ?</t>
  </si>
  <si>
    <t>If money and other people's opinions didn't exist, how would you spend your days?</t>
  </si>
  <si>
    <t>Quel est ton signe astrologique et est-ce que tu y crois ? Exemple de réponse : Scorpion/Oui</t>
  </si>
  <si>
    <t>QUI ES-TU ?</t>
  </si>
  <si>
    <t>Astrologie</t>
  </si>
  <si>
    <t>What's your star sign and do you believe in it? Example answer: Scorpio/Yes</t>
  </si>
  <si>
    <t>Astrology</t>
  </si>
  <si>
    <t>Quelle est la superstitition à laquelle tu crois ?</t>
  </si>
  <si>
    <t>What superstition do you actually believe in?</t>
  </si>
  <si>
    <t>Quelle attente non formulée a causé ta plus grande déception relationnelle ?</t>
  </si>
  <si>
    <t>Attentes</t>
  </si>
  <si>
    <t>What unspoken expectation caused your biggest relational disappointment?</t>
  </si>
  <si>
    <t>Expectations</t>
  </si>
  <si>
    <t>Quelle est la chose qui, une fois que tu l'as eu, était beaucoup moins bien qu'attendu ?</t>
  </si>
  <si>
    <t>What's something that, once you got it, was way less good than expected?</t>
  </si>
  <si>
    <t>Quelle est l'heure à laquelle tu te réveilles ?</t>
  </si>
  <si>
    <t>Au dodo</t>
  </si>
  <si>
    <t>What time do you usually wake up?</t>
  </si>
  <si>
    <t>Sleep Habits</t>
  </si>
  <si>
    <t>Combien d'heures dors-tu en moyenne par nuit ?</t>
  </si>
  <si>
    <t>How many hours do you sleep on average per night?</t>
  </si>
  <si>
    <t>Quel serait le titre de ton autobiographie ?</t>
  </si>
  <si>
    <t>Autobiographie</t>
  </si>
  <si>
    <t>What would the title of your autobiography be?</t>
  </si>
  <si>
    <t>Your Autobiography</t>
  </si>
  <si>
    <t>C'est le moment d'écrire un livre sur la vie de quelqu'un, sur qui tu l'écris ?</t>
  </si>
  <si>
    <t>If you had to write a book about someone's life, whose would it be?</t>
  </si>
  <si>
    <t>Quel aspect ou défi de la vie future te fait le plus peur ?</t>
  </si>
  <si>
    <t>Avenir</t>
  </si>
  <si>
    <t>What aspect or challenge of the future scares you the most?</t>
  </si>
  <si>
    <t>The Future</t>
  </si>
  <si>
    <t>Quels sont les trois mots qui te viennent à l'esprit quand tu penses à l'avenir ?</t>
  </si>
  <si>
    <t>What three words come to mind when you think about the future?</t>
  </si>
  <si>
    <t>Quelle est la théorie du complot à laquelle tu adhères secrètement ?</t>
  </si>
  <si>
    <t>LES DOSSIERS</t>
  </si>
  <si>
    <t>Aveux</t>
  </si>
  <si>
    <t>What conspiracy theory do you secretly believe in?</t>
  </si>
  <si>
    <t>THE RECEIPTS</t>
  </si>
  <si>
    <t>Confessions</t>
  </si>
  <si>
    <t>Quelle opinion impopulaire assumes-tu complètement ?</t>
  </si>
  <si>
    <t>What unpopular opinion do you fully stand by?</t>
  </si>
  <si>
    <t>Quel type d'humour te fait vraiment rire ?</t>
  </si>
  <si>
    <t>Blague</t>
  </si>
  <si>
    <t>What type of humor actually makes you laugh?</t>
  </si>
  <si>
    <t>Jokes</t>
  </si>
  <si>
    <t>Raconte-nous ta meilleure blague ?</t>
  </si>
  <si>
    <t>Tell us your best joke.</t>
  </si>
  <si>
    <t>Avec combien de personnes différentes as-tu couché ?</t>
  </si>
  <si>
    <t>HOT</t>
  </si>
  <si>
    <t>Bodycount</t>
  </si>
  <si>
    <t>How many different people have you slept with?</t>
  </si>
  <si>
    <t>Body Count</t>
  </si>
  <si>
    <t>A quel âge as-tu eu ta première relation ?</t>
  </si>
  <si>
    <t>How old were you when you had your first relationship?</t>
  </si>
  <si>
    <t>Quelle est la boisson la plus originale ou étrange que tu aies goûtée ?</t>
  </si>
  <si>
    <t>Boisson</t>
  </si>
  <si>
    <t>What's the most original or strange drink you've ever tasted?</t>
  </si>
  <si>
    <t>Drinks</t>
  </si>
  <si>
    <t>Quel est ton cocktail préféré ?</t>
  </si>
  <si>
    <t>What's your favorite cocktail?</t>
  </si>
  <si>
    <t>Quel sujet supposément marrant te fait pas trop rire ?</t>
  </si>
  <si>
    <t>Bon délire</t>
  </si>
  <si>
    <t>What supposedly funny topic actually doesn't make you laugh that much?</t>
  </si>
  <si>
    <t>Good Laughs</t>
  </si>
  <si>
    <t>Quel est le truc/souvenir/sujet qui te fait assurément rire quand tu y penses, même seul ?</t>
  </si>
  <si>
    <t>What memory or topic is guaranteed to make you laugh even when you're alone?</t>
  </si>
  <si>
    <t>reformuler</t>
  </si>
  <si>
    <t>Quel est le bruit naturel que tu adores écouter ?</t>
  </si>
  <si>
    <t>Bruit</t>
  </si>
  <si>
    <t>What natural sound do you love to listen to?</t>
  </si>
  <si>
    <t>Sounds</t>
  </si>
  <si>
    <t>Si tu pouvais supprimer un bruit de l’existence, lequel choisirais-tu ?</t>
  </si>
  <si>
    <t>If you could remove one sound from existence, which one would you choose?</t>
  </si>
  <si>
    <t>Quel est le cadeau typique de dernière minute que tu offres souvent ?</t>
  </si>
  <si>
    <t>FACE À TOI-MÊME</t>
  </si>
  <si>
    <t>Cadeaux Reçus</t>
  </si>
  <si>
    <t>What's the typical last-minute gift you often give people?</t>
  </si>
  <si>
    <t>Gifts Received</t>
  </si>
  <si>
    <t>Quel est le pire cadeau que tu aies jamais reçu ?</t>
  </si>
  <si>
    <t>What's the worst gift you've ever received?</t>
  </si>
  <si>
    <t>Si tu pouvais offrir un cadeau à la personne de gauche sans limite de budget, que choisirais-tu ?</t>
  </si>
  <si>
    <t>Cadeaux</t>
  </si>
  <si>
    <t>If you could give a gift to the person on your left with no budget limit, what would you choose?</t>
  </si>
  <si>
    <t>Gifts</t>
  </si>
  <si>
    <t>Si la personne à droite t'offrait un cadeau, lequel serait-t'il ?</t>
  </si>
  <si>
    <t>If the person on your right gave you a gift, what would it be?</t>
  </si>
  <si>
    <t>Quel est le plus grand coup de chance que tu aies jamais eu ?</t>
  </si>
  <si>
    <t>Chance et malchance</t>
  </si>
  <si>
    <t>What's the biggest stroke of luck you've ever had?</t>
  </si>
  <si>
    <t>Luck &amp; Bad Luck</t>
  </si>
  <si>
    <t>Quel est le plus gros coup de malchance que tu penses avoir eu ?</t>
  </si>
  <si>
    <t>What's the biggest stroke of bad luck you think you've had?</t>
  </si>
  <si>
    <t>Quelle est la personne que tu trouves la plus stylée du groupe ?</t>
  </si>
  <si>
    <t>Percée</t>
  </si>
  <si>
    <t>Who in the group has the best style?</t>
  </si>
  <si>
    <t>Breakthroughs</t>
  </si>
  <si>
    <t>Trouver meilleur nom de type</t>
  </si>
  <si>
    <t>Qui aurait le plus de chances de devenir célèbre ?</t>
  </si>
  <si>
    <t>Who in the group is most likely to become famous?</t>
  </si>
  <si>
    <t>Quelle est une célébrité qui t'a déçu ?</t>
  </si>
  <si>
    <t>Célébrité</t>
  </si>
  <si>
    <t>Which celebrity has disappointed you?</t>
  </si>
  <si>
    <t>Celebrities</t>
  </si>
  <si>
    <t>Quelle est la dernière célébrité que tu as croisé dans la vraie vie ?</t>
  </si>
  <si>
    <t>What's the last celebrity you spotted in real life?</t>
  </si>
  <si>
    <t>Quel est ton meilleur souvenir de l'année ?</t>
  </si>
  <si>
    <t>Cette année</t>
  </si>
  <si>
    <t>What's your best memory from this year?</t>
  </si>
  <si>
    <t>This Year</t>
  </si>
  <si>
    <t>Quel est ton pire moment de cette année ?</t>
  </si>
  <si>
    <t>What's your worst moment this year?</t>
  </si>
  <si>
    <t>Quelle est la chose que tu ne changeras jamais chez toi ?</t>
  </si>
  <si>
    <t>Choses à changer</t>
  </si>
  <si>
    <t>What's the one thing about yourself you'll never change?</t>
  </si>
  <si>
    <t>Things to Change</t>
  </si>
  <si>
    <t>Quelle est la chose que tu regrettes de ne pas avoir faite ?</t>
  </si>
  <si>
    <t>What's something you regret not having done?</t>
  </si>
  <si>
    <t>Existe t'il un sujet ou tu es clairement pas objectif ?</t>
  </si>
  <si>
    <t>Changements</t>
  </si>
  <si>
    <t>Is there a topic where you're clearly not objective?</t>
  </si>
  <si>
    <t>Changes</t>
  </si>
  <si>
    <t>Quel est le plus grand changement que tu aimerais voir dans le monde dans les 10 prochaines années ?</t>
  </si>
  <si>
    <t>What's the biggest change you'd like to see in the world in the next 10 years?</t>
  </si>
  <si>
    <t>Si tu pouvais échanger ta vie avec quelqu'un du groupe pendant une semaine, qui choisirais-tu ?</t>
  </si>
  <si>
    <t>Changements de vie</t>
  </si>
  <si>
    <t>If you could swap lives with someone in the group for a week, who would you choose?</t>
  </si>
  <si>
    <t>Life Changes</t>
  </si>
  <si>
    <t>Qui a la vie qui te ressemble le plus ?</t>
  </si>
  <si>
    <t>Who has the life most similar to yours?</t>
  </si>
  <si>
    <t>Quelle est ta chanson nostalgie ?</t>
  </si>
  <si>
    <t>Chanson nostalgie</t>
  </si>
  <si>
    <t>What's your nostalgia song?</t>
  </si>
  <si>
    <t>Nostalgia Songs</t>
  </si>
  <si>
    <t>C'est quoi LA chanson qu'il faut absolument mettre en soirée pour danser ?</t>
  </si>
  <si>
    <t>What's THE song that absolutely has to be played at a party to get everyone dancing?</t>
  </si>
  <si>
    <t>Quelle est pour toi la meilleure chanson de tous les temps ?</t>
  </si>
  <si>
    <t>Chansons</t>
  </si>
  <si>
    <t>What's the greatest song of all time, according to you?</t>
  </si>
  <si>
    <t>Songs</t>
  </si>
  <si>
    <t>La chanson que tu connais par cœur, et que tu choisis sans faute au karaoké ?</t>
  </si>
  <si>
    <t>What song do you know by heart and always pick at karaoke without fail?</t>
  </si>
  <si>
    <t>Quelle est la coïncidence la plus troublante que tu aies vécue ?</t>
  </si>
  <si>
    <t>Coïncidences</t>
  </si>
  <si>
    <t>What's the most unsettling coincidence you've ever experienced?</t>
  </si>
  <si>
    <t>Coincidences</t>
  </si>
  <si>
    <t>As-tu déjà eu une intuition ou un pressentiment qui s'est réalisé de façon inexplicable ?</t>
  </si>
  <si>
    <t>Have you ever had an intuition or premonition that came true in an inexplicable way?</t>
  </si>
  <si>
    <t>Quel est le dernier film que tu es allé voir au cinéma ?</t>
  </si>
  <si>
    <t>Cinéma</t>
  </si>
  <si>
    <t>What's the last film you went to see at the cinema?</t>
  </si>
  <si>
    <t>Cinema</t>
  </si>
  <si>
    <t>Quel film méritait absolument d'être vu sur grand écran plutôt qu'en streaming ?</t>
  </si>
  <si>
    <t>What film absolutely deserved to be seen on the big screen rather than streaming?</t>
  </si>
  <si>
    <t>Dans quel domaine ta confiance en toi a le plus évolué ces dernières années ?</t>
  </si>
  <si>
    <t>Confiance en soi</t>
  </si>
  <si>
    <t>In what area has your self-confidence grown the most in recent years?</t>
  </si>
  <si>
    <t>Self-Confidence</t>
  </si>
  <si>
    <t>Comment tu te prépares mentalement avant un moment important ?</t>
  </si>
  <si>
    <t>How do you mentally prepare yourself before an important moment?</t>
  </si>
  <si>
    <t>Quelle est ta collection d'objets la plus impressionnante ?</t>
  </si>
  <si>
    <t>Collection</t>
  </si>
  <si>
    <t>What's your most impressive collection of objects?</t>
  </si>
  <si>
    <t>Collections</t>
  </si>
  <si>
    <t>Quelle est ta collection que peu de gens connaissent ?</t>
  </si>
  <si>
    <t>What's a collection you have that few people know about?</t>
  </si>
  <si>
    <t>Avec qui tu aimerais vivre en colocation ?</t>
  </si>
  <si>
    <t>Colocation</t>
  </si>
  <si>
    <t>Who would you want to live with as a roommate?</t>
  </si>
  <si>
    <t>Living Together</t>
  </si>
  <si>
    <t>Quelle est la pire habitude que tu aies supportée chez quelqu'un avec qui tu vivais ?</t>
  </si>
  <si>
    <t>What's the worst habit you've had to put up with from someone you lived with?</t>
  </si>
  <si>
    <t>Quel est ton moyen de communication préféré ? (SMS, Messages, Appels, Insta...)</t>
  </si>
  <si>
    <t>Messages</t>
  </si>
  <si>
    <t>What's your preferred way to communicate? (SMS, Messaging apps, Calls, Instagram...)</t>
  </si>
  <si>
    <t>Messaging</t>
  </si>
  <si>
    <t>En moyenne, combien de messages envoies-tu par jour ?</t>
  </si>
  <si>
    <t>On average, how many messages do you send per day?</t>
  </si>
  <si>
    <t>BOF</t>
  </si>
  <si>
    <t>Quelle est la phrase que tu utilises pour clore une conversation qui s'éternise ?</t>
  </si>
  <si>
    <t>Communications</t>
  </si>
  <si>
    <t>What phrase do you use to end a conversation that's going on too long?</t>
  </si>
  <si>
    <t>Communication</t>
  </si>
  <si>
    <t>Quelle est la plus grande contradiction entre ce que tu prônes et ce que tu fais réellement ?</t>
  </si>
  <si>
    <t>What's the biggest contradiction between what you preach and what you actually do?</t>
  </si>
  <si>
    <t>Dans quel domaine tu te compares encore trop aux autres, même si tu sais que c'est contre-productif ?</t>
  </si>
  <si>
    <t>Comparaison</t>
  </si>
  <si>
    <t>In what area do you still compare yourself to others too much, even knowing it's counterproductive?</t>
  </si>
  <si>
    <t>Comparisons</t>
  </si>
  <si>
    <t>Quelle réussite de quelqu'un te donne envie de progresser ?</t>
  </si>
  <si>
    <t>Whose success genuinely motivates you to grow?</t>
  </si>
  <si>
    <t>Quel est le compliment qui t'a le plus touché(e) dans ta vie, et de qui venait t'il ?</t>
  </si>
  <si>
    <t>Compliments</t>
  </si>
  <si>
    <t>What's the compliment that touched you the most in your life, and who gave it?</t>
  </si>
  <si>
    <t>Quel est le compliment que tu fais souvent aux autres mais que tu n'arrives pas à t'appliquer à toi-même ?</t>
  </si>
  <si>
    <t>What compliment do you often give others but can't seem to apply to yourself?</t>
  </si>
  <si>
    <t>Quel comportement tu as quand tu es vramient amoureux ?</t>
  </si>
  <si>
    <t>Sous le charme</t>
  </si>
  <si>
    <t>How do you behave when you're genuinely falling for someone?</t>
  </si>
  <si>
    <t>Under the Spell</t>
  </si>
  <si>
    <t>Quel comportement pourrait te faire quitter le date en 10 secondes ?</t>
  </si>
  <si>
    <t>What behavior would make you leave a date within 10 seconds?</t>
  </si>
  <si>
    <t>Quel est le premier concert auquel tu as assisté ?</t>
  </si>
  <si>
    <t>Concerts &amp; Danse</t>
  </si>
  <si>
    <t>What was the first concert you ever attended?</t>
  </si>
  <si>
    <t>Concerts &amp; Dancing</t>
  </si>
  <si>
    <t>Si tu pouvais maîtriser un style de danse, lequel choisirais-tu ?</t>
  </si>
  <si>
    <t>If you could master any dance style, which one would you choose?</t>
  </si>
  <si>
    <t>Qu'est-ce qui peut faire s'effondrer ta confiance en toi en quelques secondes ?</t>
  </si>
  <si>
    <t>Confiance</t>
  </si>
  <si>
    <t>What can shatter your self-confidence in a matter of seconds?</t>
  </si>
  <si>
    <t>Trust</t>
  </si>
  <si>
    <t>Quelle est la chose qui peut instantanément faire gagner ta confiance à quelqu'un ?</t>
  </si>
  <si>
    <t>What instantly earns someone your trust?</t>
  </si>
  <si>
    <t>Quelle est la plus grosse connerie que tu aies faite ?</t>
  </si>
  <si>
    <t>Conneries</t>
  </si>
  <si>
    <t>What's the biggest stupid thing you've ever done?</t>
  </si>
  <si>
    <t>Stupid Stuff</t>
  </si>
  <si>
    <t>Qui as-tu déjà poussé à la connerie, et qu'a-t-il fait ?</t>
  </si>
  <si>
    <t>Who have you led into doing something dumb, and what did they do?</t>
  </si>
  <si>
    <t>Quel est le conseil amoureux que tu donnerais à ton "moi" plus jeune ?</t>
  </si>
  <si>
    <t>Conseils amoureux</t>
  </si>
  <si>
    <t>What love advice would you give to your younger self?</t>
  </si>
  <si>
    <t>Love Advice</t>
  </si>
  <si>
    <t>Quelle est ta maxime en amour ?</t>
  </si>
  <si>
    <t>What's your personal motto when it comes to love?</t>
  </si>
  <si>
    <t>Quel conseil donnerais-tu à ton toi plus jeune?</t>
  </si>
  <si>
    <t>Plus Jeune</t>
  </si>
  <si>
    <t>What advice would you give to your younger self?</t>
  </si>
  <si>
    <t>Younger Self</t>
  </si>
  <si>
    <t>Qu'est-ce qui rendait ton toi d'enfant heureux et que tu as arrêté de faire adulte ?</t>
  </si>
  <si>
    <t>What made your childhood self happy that you've stopped doing as an adult?</t>
  </si>
  <si>
    <t>Quel type de contenu préfères-tu voir sur les réseaux ?</t>
  </si>
  <si>
    <t>Contenu des réseaux</t>
  </si>
  <si>
    <t>What type of content do you prefer to see on social media?</t>
  </si>
  <si>
    <t>Social Media Content</t>
  </si>
  <si>
    <t>Quelle est la chose que tu postes le moins sur les réseaux mais qui représente le mieux ta vraie vie ?</t>
  </si>
  <si>
    <t>What do you post least on social media, but that best represents your real life?</t>
  </si>
  <si>
    <t>Quelle est la chose que tu possèdes (talent, trait, situation) et dont tu n'es pas assez fier(ère) ?</t>
  </si>
  <si>
    <t>Contradictions</t>
  </si>
  <si>
    <t>What do you have (a talent, trait, or situation) that you're not proud enough of?</t>
  </si>
  <si>
    <t>Qu'est-ce qui est le + contradictoire entre tes envies et ta vie de tous les jours ?</t>
  </si>
  <si>
    <t>What's the biggest contradiction between what you want and your everyday life?</t>
  </si>
  <si>
    <t>Si tu pouvais avoir une conversation de 30 minutes avec n'importe qui au monde vivant aujourd'hui, qui serait-ce ?</t>
  </si>
  <si>
    <t>Conversations</t>
  </si>
  <si>
    <t>If you could have a 30-minute conversation with anyone alive in the world today, who would it be?</t>
  </si>
  <si>
    <t>Quelle est la conversation la plus dure que tu as eu à mener ?</t>
  </si>
  <si>
    <t>What's the hardest conversation you've ever had to have?</t>
  </si>
  <si>
    <t>Quelle partie de ton corps tu aimes le plus, et pourquoi ?</t>
  </si>
  <si>
    <t>Corps</t>
  </si>
  <si>
    <t>What part of your body do you love the most, and why?</t>
  </si>
  <si>
    <t>Your Body</t>
  </si>
  <si>
    <t>Quel est ton complexe physique ?</t>
  </si>
  <si>
    <t>What's your biggest physical insecurity?</t>
  </si>
  <si>
    <t>Quel est ton plaisir coupable en matière de musique que tu n'assumes pas vraiment ?</t>
  </si>
  <si>
    <t>Coupable</t>
  </si>
  <si>
    <t>What's your guilty pleasure in music that you don't fully own up to?</t>
  </si>
  <si>
    <t>Guilty Pleasures</t>
  </si>
  <si>
    <t>Quelle émission ou contenu vraiment nul tu regardes quand même avec plaisir ?</t>
  </si>
  <si>
    <t>What awful show or content do you still watch with pleasure?</t>
  </si>
  <si>
    <t>Quelle est la première chose que tu mets dans ton caddie en faisant les courses ?</t>
  </si>
  <si>
    <t>Courses</t>
  </si>
  <si>
    <t>What's the first thing you put in your shopping cart?</t>
  </si>
  <si>
    <t>Grocery Shopping</t>
  </si>
  <si>
    <t>Quel est ton magasin ou site web préféré pour faire les courses ?</t>
  </si>
  <si>
    <t>What's your favorite store or website to shop at?</t>
  </si>
  <si>
    <t>Quel serait ton talent caché ?</t>
  </si>
  <si>
    <t>Créativité</t>
  </si>
  <si>
    <t>What's your hidden talent?</t>
  </si>
  <si>
    <t>Creativity</t>
  </si>
  <si>
    <t>Quelle idée originale as-tu eue mais jamais réalisée?</t>
  </si>
  <si>
    <t>What original idea have you had but never acted on?</t>
  </si>
  <si>
    <t>Quel est l'ingrédient que tu utilises dans absolument tout ce que tu cuisines ?</t>
  </si>
  <si>
    <t>Cuisine</t>
  </si>
  <si>
    <t>What ingredient do you put in absolutely everything you cook?</t>
  </si>
  <si>
    <t>Cooking</t>
  </si>
  <si>
    <t>Quel est le type de cuisine que tu préfères ?</t>
  </si>
  <si>
    <t>What type of cuisine do you prefer?</t>
  </si>
  <si>
    <t>Quelle est la chose dont tu es vraiment fier(ère) dans ton pays ou ta culture d'origine ?</t>
  </si>
  <si>
    <t>Culture</t>
  </si>
  <si>
    <t>What are you genuinely proud of about your country or culture of origin?</t>
  </si>
  <si>
    <t>Quelle coutume ou tradition française (ou de ta culture) tu trouves franchement bizarre vu de l'extérieur ?</t>
  </si>
  <si>
    <t>What custom or tradition from your culture do you think looks pretty strange from the outside?</t>
  </si>
  <si>
    <t>Si tu devais expliquer ta culture à quelqu'un qui n'en sait rien, par quoi tu commencerais ?</t>
  </si>
  <si>
    <t>Ethnie</t>
  </si>
  <si>
    <t>If you had to explain your culture to someone who knows nothing about it, where would you start?</t>
  </si>
  <si>
    <t>Culture &amp; Ethnicity</t>
  </si>
  <si>
    <t>Si tu devais changer de culture ou d'ethnie, que choisirais-tu d'être ?</t>
  </si>
  <si>
    <t>If you had to switch to a different culture or ethnicity, which would you choose?</t>
  </si>
  <si>
    <t>Quel domaine tu n'y connais rien, mais qui t'attire vraiment ?</t>
  </si>
  <si>
    <t>Curiosité</t>
  </si>
  <si>
    <t>What field do you know nothing about but are genuinely drawn to?</t>
  </si>
  <si>
    <t>Curiosity</t>
  </si>
  <si>
    <t>Quelle est la dernière chose qui t'a rendu(e) vraiment curieux/curieuse ?</t>
  </si>
  <si>
    <t>What's the last thing that made you truly curious?</t>
  </si>
  <si>
    <t>Quel est le mot en langue étrangère que tu préfères ?</t>
  </si>
  <si>
    <t>Curiosités Linguistiques</t>
  </si>
  <si>
    <t>What's your favorite word in a foreign language?</t>
  </si>
  <si>
    <t>Language Curiosities</t>
  </si>
  <si>
    <t>Y a-t-il un mot dont tu as longtemps mal compris le sens ?</t>
  </si>
  <si>
    <t>Is there a word whose meaning you misunderstood for a long time?</t>
  </si>
  <si>
    <t>Sur quel sujet as-tu totalement changé d'avis ?</t>
  </si>
  <si>
    <t>Débats</t>
  </si>
  <si>
    <t>What's a topic you've completely changed your mind on?</t>
  </si>
  <si>
    <t>Debates</t>
  </si>
  <si>
    <t>Quel est le sujet sur lequel tu es prêt(e) à débattre avec n’importe qui ?</t>
  </si>
  <si>
    <t>What topic are you ready to debate with absolutely anyone?</t>
  </si>
  <si>
    <t>Quel serait selon toi le principal problème en France actuellement ?</t>
  </si>
  <si>
    <t>Décisions politiques</t>
  </si>
  <si>
    <t>What do you think is the main problem in your country right now?</t>
  </si>
  <si>
    <t>Political Decisions</t>
  </si>
  <si>
    <t>Quelle serait ta première décision en tant que Président de la République ?</t>
  </si>
  <si>
    <t>What would be your first decision as President?</t>
  </si>
  <si>
    <t>Qu’est-ce que tu as appris récemment qui t’a marqué ?</t>
  </si>
  <si>
    <t>Découvertes</t>
  </si>
  <si>
    <t>What have you learned recently that really stuck with you?</t>
  </si>
  <si>
    <t>Discoveries</t>
  </si>
  <si>
    <t>Quelle découverte scientifique ou historique t’a le plus impressionné(e) ?</t>
  </si>
  <si>
    <t>What scientific or historical discovery impressed you the most?</t>
  </si>
  <si>
    <t>Quel est ton plus gros défaut de caractère ?</t>
  </si>
  <si>
    <t>Défauts</t>
  </si>
  <si>
    <t>What's your biggest character flaw?</t>
  </si>
  <si>
    <t>Flaws</t>
  </si>
  <si>
    <t>Quel défaut chez les autres as tu du mal à supporter ?</t>
  </si>
  <si>
    <t>What flaw in others do you struggle to tolerate?</t>
  </si>
  <si>
    <t>Quel est le meilleur déguisement que tu aimerais porter ?</t>
  </si>
  <si>
    <t>Déguisement</t>
  </si>
  <si>
    <t>What's the best costume you'd love to wear?</t>
  </si>
  <si>
    <t>Costumes</t>
  </si>
  <si>
    <t>Si tu devais venir déguisé ici ce soir, tu aurais choisi quoi ?</t>
  </si>
  <si>
    <t>If you had to show up in costume tonight, what would you have chosen?</t>
  </si>
  <si>
    <t>Nul à chier</t>
  </si>
  <si>
    <t>Si tu avais 10 000€ à dépenser en 24h sans les garder, comment tu les claques ?</t>
  </si>
  <si>
    <t>Budget</t>
  </si>
  <si>
    <t>If you had $10,000 to spend in 24 hours without keeping any, how would you blow it?</t>
  </si>
  <si>
    <t>Quelle est la dépense que tu justifies toujours mais que tu sais être excessive ?</t>
  </si>
  <si>
    <t>What expense do you always justify but deep down know is excessive?</t>
  </si>
  <si>
    <t>Quelle a été ta plus grosse dépense inutile ?</t>
  </si>
  <si>
    <t>Dépenses</t>
  </si>
  <si>
    <t>What was your most pointless big expense?</t>
  </si>
  <si>
    <t>Spending</t>
  </si>
  <si>
    <t>Quel est ton plus gros poste de dépense dans le mois ?</t>
  </si>
  <si>
    <t>What's your biggest expense category each month?</t>
  </si>
  <si>
    <t>Bof</t>
  </si>
  <si>
    <t>Quelle destination serais tu capabe de faire seul, tellement tu en as envie ?</t>
  </si>
  <si>
    <t>Destination</t>
  </si>
  <si>
    <t>What destination would you be capable of going to alone, you want it that badly?</t>
  </si>
  <si>
    <t>Travel Destinations</t>
  </si>
  <si>
    <t>Quelle destination te plaisait autrefois, mais maintenant plus du tout, et pourquoi ?</t>
  </si>
  <si>
    <t>What destination used to appeal to you but no longer does, and why?</t>
  </si>
  <si>
    <t>Quelle ressource (livre, philosophie...) t’a le plus aidé à progresser dans ta vie ?</t>
  </si>
  <si>
    <t>Développement Perso</t>
  </si>
  <si>
    <t>What resource (book, philosophy...) has helped you grow the most in life?</t>
  </si>
  <si>
    <t>Personal Growth</t>
  </si>
  <si>
    <t>Quel est l'objectif de développement personnel que tu poursuis actuellement ?</t>
  </si>
  <si>
    <t>What personal development goal are you currently pursuing?</t>
  </si>
  <si>
    <t>Quelle est la chose que tu sais maintenant faire que ton toi d'il y a 5 ans n'aurait jamais imaginé ?</t>
  </si>
  <si>
    <t>Développements</t>
  </si>
  <si>
    <t>What can you do now that your self from 5 years ago would never have imagined?</t>
  </si>
  <si>
    <t>Achievements</t>
  </si>
  <si>
    <t>Quelle compétence professionnelle es-tu le/la plus fier(ère) d'avoir développée ?</t>
  </si>
  <si>
    <t>What professional skill are you most proud of having developed?</t>
  </si>
  <si>
    <t>Si tu pouvais recevoir un compliment parfait, que voudrais-tu entendre ?</t>
  </si>
  <si>
    <t>Discussions Idéales</t>
  </si>
  <si>
    <t>If you could receive the perfect compliment, what would you want to hear?</t>
  </si>
  <si>
    <t>Ideal Conversations</t>
  </si>
  <si>
    <t>Quel est ton sujet de discussion préféré ?</t>
  </si>
  <si>
    <t>Discussions</t>
  </si>
  <si>
    <t>What's your favorite conversation topic?</t>
  </si>
  <si>
    <t>Un talent que tu admires chez les autres mais que tu ne possèdes pas ?</t>
  </si>
  <si>
    <t>What talent do you admire in others but don't have yourself?</t>
  </si>
  <si>
    <t>Quelle est la question que tu aimerais qu’on te pose?</t>
  </si>
  <si>
    <t>What question do you wish people asked you more often?</t>
  </si>
  <si>
    <t>Quelle est la théorie sur la vie avec laquelle tu crois avec le plus de conviction ?</t>
  </si>
  <si>
    <t>Discussions profondes</t>
  </si>
  <si>
    <t>What theory about life do you believe in most deeply?</t>
  </si>
  <si>
    <t>Deep Talks</t>
  </si>
  <si>
    <t>Quel est le sujet que tu aimerais plus aborder ?</t>
  </si>
  <si>
    <t>What subject would you like to talk about more?</t>
  </si>
  <si>
    <t>Qui est ton personnage Disney favori ?</t>
  </si>
  <si>
    <t>Disney</t>
  </si>
  <si>
    <t>Who's your favorite Disney character?</t>
  </si>
  <si>
    <t>Quel est ton film Disney favori ?</t>
  </si>
  <si>
    <t>What's your favorite Disney film?</t>
  </si>
  <si>
    <t>Quelle est ta façon de gérer les disputes ?</t>
  </si>
  <si>
    <t>Disputes</t>
  </si>
  <si>
    <t>What's your way of handling arguments?</t>
  </si>
  <si>
    <t>Arguments</t>
  </si>
  <si>
    <t>Quelle est la dispute avec un ami qui vous a finalement rapprochés ?</t>
  </si>
  <si>
    <t>What argument with a friend actually brought you closer together?</t>
  </si>
  <si>
    <t>Quelle est ta technique infaillible pour séduire quelqu’un ?</t>
  </si>
  <si>
    <t>Drague</t>
  </si>
  <si>
    <t>What's your foolproof technique to seduce someone?</t>
  </si>
  <si>
    <t>Flirting</t>
  </si>
  <si>
    <t>Comment décrirais-tu ton style de drague en trois mots ?</t>
  </si>
  <si>
    <t>How would you describe your flirting style in three words?</t>
  </si>
  <si>
    <t>Quelle est la chose la plus intelligente que tu aies faite avec de l'argent ?</t>
  </si>
  <si>
    <t>Economies</t>
  </si>
  <si>
    <t>What's the smartest thing you've ever done with money?</t>
  </si>
  <si>
    <t>Savings</t>
  </si>
  <si>
    <t>Quelle est la chose la plus longtemps que tu aies économisé le plus longtemps pour acheter ?</t>
  </si>
  <si>
    <t>What's the thing you saved up for the longest to buy?</t>
  </si>
  <si>
    <t>A qui envoies-tu le plus de message ?</t>
  </si>
  <si>
    <t>Ecriture</t>
  </si>
  <si>
    <t>Who do you message the most?</t>
  </si>
  <si>
    <t>Messages &amp; Writing</t>
  </si>
  <si>
    <t>Pour quel sujet la dernière fois tu as écrit une vraie lettre manuscrite à quelqu'un ?</t>
  </si>
  <si>
    <t>What was the last thing you wrote a real handwritten letter for?</t>
  </si>
  <si>
    <t>Quelle est la pire chose qu’on t’ait reprochée lors d’une embrouille ?</t>
  </si>
  <si>
    <t>Embrouille</t>
  </si>
  <si>
    <t>What's the worst thing someone's accused you of during an argument?</t>
  </si>
  <si>
    <t>Conflicts</t>
  </si>
  <si>
    <t>Quel comportement peut instantanément te faire monter en tension dans une embrouille ?</t>
  </si>
  <si>
    <t>What behavior can instantly set you off during an argument?</t>
  </si>
  <si>
    <t>Qui du groupe serait le meilleur survivant dans une émission de survie ?</t>
  </si>
  <si>
    <t>En crise</t>
  </si>
  <si>
    <t>Who in the group would survive longest on a survival show?</t>
  </si>
  <si>
    <t>Crisis Mode</t>
  </si>
  <si>
    <t>Qui du groupe tu appellerais en premier si tu avais un gros problème à 2h du matin ?</t>
  </si>
  <si>
    <t>Who in the group would you call first if you had a major problem at 2am?</t>
  </si>
  <si>
    <t>Quel est le premier lieu qui te vient en tête quand tu penses à ton enfance et pourquoi ?</t>
  </si>
  <si>
    <t>Endroits spécifiques</t>
  </si>
  <si>
    <t>What's the first place that comes to mind when you think about your childhood, and why?</t>
  </si>
  <si>
    <t>Specific Places</t>
  </si>
  <si>
    <t>Quel est l’endroit le plus insolite où tu as dormi ?</t>
  </si>
  <si>
    <t>What's the most unusual place you've ever slept?</t>
  </si>
  <si>
    <t>Comment sais-tu instantanément si quelqu'un va compter dans ta vie ?</t>
  </si>
  <si>
    <t>Nouveaux</t>
  </si>
  <si>
    <t>How do you instantly know if someone is going to matter in your life?</t>
  </si>
  <si>
    <t>New Connections</t>
  </si>
  <si>
    <t>Qui d'important dans ta vie as-tu rencontré très récemment ?</t>
  </si>
  <si>
    <t>Who recently entered your life in a significant way?</t>
  </si>
  <si>
    <t>Quelle est ta source d'énergie principale en ce moment dans ta vie ?</t>
  </si>
  <si>
    <t>Énergie</t>
  </si>
  <si>
    <t>What's your main source of energy right now in your life?</t>
  </si>
  <si>
    <t>Energy</t>
  </si>
  <si>
    <t>Qu'est-ce qui t'a le plus motivé(e) à changer quelque chose dans ta vie récemment ?</t>
  </si>
  <si>
    <t>What recently motivated you to change something in your life?</t>
  </si>
  <si>
    <t>Quel était le dessin animé préféré de ton enfance ?</t>
  </si>
  <si>
    <t>Enfance</t>
  </si>
  <si>
    <t>What was your favorite cartoon as a child?</t>
  </si>
  <si>
    <t>Childhood</t>
  </si>
  <si>
    <t>Si tu pouvais revivre une journée de ton enfance, laquelle choisirais-tu ?</t>
  </si>
  <si>
    <t>If you could relive one day from your childhood, which one would you choose?</t>
  </si>
  <si>
    <t>Quelle cause ou engagement t'es-tu le plus impliqué(e) dans ta vie ?</t>
  </si>
  <si>
    <t>Engagement</t>
  </si>
  <si>
    <t>What cause or commitment have you been most involved in throughout your life?</t>
  </si>
  <si>
    <t>Commitments</t>
  </si>
  <si>
    <t>Y a-t-il une pétition, une association ou un mouvement que tu soutiens activement ?</t>
  </si>
  <si>
    <t>Is there a petition, association, or movement you actively support?</t>
  </si>
  <si>
    <t>Si tu pouvais enseigner une compétence à quelqu’un, laquelle choisirais-tu ?</t>
  </si>
  <si>
    <t>Enseignement</t>
  </si>
  <si>
    <t>If you could teach one skill to someone, which one would you choose?</t>
  </si>
  <si>
    <t>Teaching</t>
  </si>
  <si>
    <t>Si tu devenais professeur, quelle serait la matière, même loufoque, que tu eneseignerais ?</t>
  </si>
  <si>
    <t>If you became a teacher, what subject — even a ridiculous one — would you teach?</t>
  </si>
  <si>
    <t>Si tu devais reprendre des études aujourd'hui, tu étudierais quoi ?</t>
  </si>
  <si>
    <t>Etudes</t>
  </si>
  <si>
    <t>If you had to go back to school today, what would you study?</t>
  </si>
  <si>
    <t>Studies</t>
  </si>
  <si>
    <t>Quel prof t'a le plus influencé dans ta vie, et pourquoi ?</t>
  </si>
  <si>
    <t>Which teacher influenced you the most in life, and why?</t>
  </si>
  <si>
    <t>Quelle phrase que tu peux entendre, peut te faire vriller ?</t>
  </si>
  <si>
    <t>Enervant</t>
  </si>
  <si>
    <t>What phrase, if you hear it, immediately drives you up the wall?</t>
  </si>
  <si>
    <t>Pet Peeves</t>
  </si>
  <si>
    <t>Réponse d'enfoiré attendue : qu'est-ce qui est normal ou génial, mais qui te soule royalement ?</t>
  </si>
  <si>
    <t>What's something totally normal or great that secretly drives you crazy?</t>
  </si>
  <si>
    <t>Si tu pouvais tout recommencer dans un pays différent, lequel choisirais-tu ?</t>
  </si>
  <si>
    <t>Expatriations</t>
  </si>
  <si>
    <t>If you could start over in a different country, which one would you choose?</t>
  </si>
  <si>
    <t>Living Abroad</t>
  </si>
  <si>
    <t>Quel est le lieu où tu aimerais vivre pendant un an, peu importe les contraintes ?</t>
  </si>
  <si>
    <t>Where would you want to live for a year, regardless of the constraints?</t>
  </si>
  <si>
    <t>Quelles sont les plus belles vacances que tu as passé ?</t>
  </si>
  <si>
    <t>Expériences de voyages</t>
  </si>
  <si>
    <t>What are the best vacation you've ever had?</t>
  </si>
  <si>
    <t>Travel Experiences</t>
  </si>
  <si>
    <t>Quelle a été ta pire expérience de voyage ?</t>
  </si>
  <si>
    <t>What was your worst travel experience?</t>
  </si>
  <si>
    <t>Dans quel sujet tu abuses ?</t>
  </si>
  <si>
    <t>Exagérations</t>
  </si>
  <si>
    <t>What topic do you go overboard on?</t>
  </si>
  <si>
    <t>Exaggerations</t>
  </si>
  <si>
    <t>Qu'est-ce que tu exagères à propos de toi ?</t>
  </si>
  <si>
    <t>What do you exaggerate about yourself?</t>
  </si>
  <si>
    <t>Dans quelle chose/activité tu perds le plus de temps ?</t>
  </si>
  <si>
    <t>Fail</t>
  </si>
  <si>
    <t>What activity or thing do you waste the most time on?</t>
  </si>
  <si>
    <t>Epic Fails</t>
  </si>
  <si>
    <t>Quelle est la pire décision de dernière minute qui t’a mené à un énorme fail ?</t>
  </si>
  <si>
    <t>What last-minute bad decision led to a massive fail for you?</t>
  </si>
  <si>
    <t>Si ce groupe était une famille, quel rôle aurais-tu ?</t>
  </si>
  <si>
    <t>Famille</t>
  </si>
  <si>
    <t>If this group were a family, what role would you play?</t>
  </si>
  <si>
    <t>Family</t>
  </si>
  <si>
    <t>Si ce groupe devait partir en voyage ensemble, à qui tu ferais confiance pour l'organisation ?</t>
  </si>
  <si>
    <t>If this group had to go on a trip together, who would you trust to organize it?</t>
  </si>
  <si>
    <t>Si vous devriez faire un voyage en famille, ou iriez-vous ?</t>
  </si>
  <si>
    <t>Famille proche</t>
  </si>
  <si>
    <t>If your family had to go on a trip together, where would you go?</t>
  </si>
  <si>
    <t>Close Family</t>
  </si>
  <si>
    <t>Quel est le mot qui caractérise votre famille proche ?</t>
  </si>
  <si>
    <t>What one word describes your close family?</t>
  </si>
  <si>
    <t>Quelle est la tradition ou croyance familiale que tu as mis du temps à comprendre que c'était propre à ta famille ?</t>
  </si>
  <si>
    <t>Famille secrète</t>
  </si>
  <si>
    <t>What family tradition or belief took you a while to realize was unique to your family?</t>
  </si>
  <si>
    <t>Family Secrets</t>
  </si>
  <si>
    <t>Quel est le sujet que ta famille évite soigneusement d'aborder en réunion ?</t>
  </si>
  <si>
    <t>What topic does your family carefully avoid bringing up at gatherings?</t>
  </si>
  <si>
    <t>Quel est ton signal d'alarme quand tu sens que tu vas pas bien ?</t>
  </si>
  <si>
    <t>Fatigue</t>
  </si>
  <si>
    <t>What's your warning sign that you're not doing well?</t>
  </si>
  <si>
    <t>Burnout</t>
  </si>
  <si>
    <t>Qu'est-ce qui te recharge le plus vite quand tu es à plat ?</t>
  </si>
  <si>
    <t>What recharges you the fastest when you're running on empty?</t>
  </si>
  <si>
    <t>Quelle est la fête/célébration que tu préfères ?</t>
  </si>
  <si>
    <t>Fête</t>
  </si>
  <si>
    <t>What's your favorite holiday or celebration?</t>
  </si>
  <si>
    <t>Holidays &amp; Celebrations</t>
  </si>
  <si>
    <t>Si tu pouvais créer une fête nationale, comment s'appelerait t'elle ?</t>
  </si>
  <si>
    <t>If you could create a national holiday, what would it be called?</t>
  </si>
  <si>
    <t>Si tu pouvais rencontrer un personnage fictif, qui choisirais-tu ?</t>
  </si>
  <si>
    <t>Fiction</t>
  </si>
  <si>
    <t>If you could meet a fictional character, who would you choose?</t>
  </si>
  <si>
    <t>Si tu vivrais dans un monde fictif, lequel choisirais-tu ?</t>
  </si>
  <si>
    <t>If you could live in a fictional world, which one would you choose?</t>
  </si>
  <si>
    <t>Quel est le moment où tu as senti que tes parents étaient le plus fiers de toi ?</t>
  </si>
  <si>
    <t>Fierté</t>
  </si>
  <si>
    <t>What moment made you feel your parents were the most proud of you?</t>
  </si>
  <si>
    <t>Pride</t>
  </si>
  <si>
    <t>Quelle est la personne dont tu es la plus fière ?</t>
  </si>
  <si>
    <t>Who are you the most proud of?</t>
  </si>
  <si>
    <t>Quelle est ta chanson romantique préférée ?</t>
  </si>
  <si>
    <t>Romance</t>
  </si>
  <si>
    <t>What's your favorite romantic song?</t>
  </si>
  <si>
    <t>Le film romantique qui te fait craquer ?</t>
  </si>
  <si>
    <t>What romantic film always gets to you?</t>
  </si>
  <si>
    <t>Quel est le film que tu as vu le plus de fois ?</t>
  </si>
  <si>
    <t>Films favoris</t>
  </si>
  <si>
    <t>What's the film you've watched the most times?</t>
  </si>
  <si>
    <t>Favorite Films</t>
  </si>
  <si>
    <t>Quel personnage de film t'inspire le plus ?</t>
  </si>
  <si>
    <t>Which film character inspires you the most?</t>
  </si>
  <si>
    <t>Quel est ton endroit idéal pour un 1er date ?</t>
  </si>
  <si>
    <t>First Date</t>
  </si>
  <si>
    <t>What's your ideal spot for a first date?</t>
  </si>
  <si>
    <t>Si tu pouvais vivre une histoire d’amour de film ou de série, laquelle choisirais-tu ?</t>
  </si>
  <si>
    <t>If you could live out a movie or TV love story, which one would you choose?</t>
  </si>
  <si>
    <t>Quelle est l'aventure ou l'expérience la plus folle que tu aies vécue ?</t>
  </si>
  <si>
    <t>Expériences Fondatrices</t>
  </si>
  <si>
    <t>What's the craziest adventure or experience you've ever lived?</t>
  </si>
  <si>
    <t>Defining Experiences</t>
  </si>
  <si>
    <t>Quelle expérience difficile a le plus changé ta vision du monde ?</t>
  </si>
  <si>
    <t>What difficult experience most changed your vision of the world?</t>
  </si>
  <si>
    <t>Qui du groupe te fait le plus rire ?</t>
  </si>
  <si>
    <t>Fous Rires du Groupe</t>
  </si>
  <si>
    <t>Who in the group makes you laugh the most?</t>
  </si>
  <si>
    <t>Group Laughs</t>
  </si>
  <si>
    <t>Quel surnom tu pourrais donner au joueur de droite ?</t>
  </si>
  <si>
    <t>Give a nickname to the player on your right.</t>
  </si>
  <si>
    <t>Quel moment de ta vie future attends-tu avec impatience ?</t>
  </si>
  <si>
    <t>Futur</t>
  </si>
  <si>
    <t>What future moment in your life are you most looking forward to?</t>
  </si>
  <si>
    <t>Si tu pouvais voir un moment de ton avenir, lequel choisirais-tu ?</t>
  </si>
  <si>
    <t>If you could see one moment of your future, which one would you choose?</t>
  </si>
  <si>
    <t>Quelle avancée technologique t'excite le plus pour les 20 prochaines années ?</t>
  </si>
  <si>
    <t>Futur de la Tech</t>
  </si>
  <si>
    <t>What technological advance excites you the most for the next 20 years?</t>
  </si>
  <si>
    <t>Future of Tech</t>
  </si>
  <si>
    <t>Quelle technologie actuelle penses-tu qu'on regrettera d'avoir créée ?</t>
  </si>
  <si>
    <t>What current technology do you think we'll regret ever creating?</t>
  </si>
  <si>
    <t>Quel est le gadget technologique le plus inutile que tu aies possédé ?</t>
  </si>
  <si>
    <t>Gadgets &amp; Applis</t>
  </si>
  <si>
    <t>What's the most useless tech gadget you've ever owned?</t>
  </si>
  <si>
    <t>Gadgets &amp; Apps</t>
  </si>
  <si>
    <t>Si tu devais supprimer une seule appli de ton téléphone pour toujours, laquelle choisirais-tu ?</t>
  </si>
  <si>
    <t>If you had to delete one app from your phone forever, which one would you choose?</t>
  </si>
  <si>
    <t>Que penses-tu que la génération suivante jugera sévèrement dans nos comportements actuels ?</t>
  </si>
  <si>
    <t>Generation</t>
  </si>
  <si>
    <t>What do you think the next generation will judge us harshly for?</t>
  </si>
  <si>
    <t>Generations</t>
  </si>
  <si>
    <t>Quelle est pour toi, la meilleure génération ?</t>
  </si>
  <si>
    <t>What's the best generation, in your opinion?</t>
  </si>
  <si>
    <t>Quelle est la chose la plus généreuse qu'on ait jamais faite pour toi ?</t>
  </si>
  <si>
    <t>Générosité</t>
  </si>
  <si>
    <t>What's the most generous thing anyone has ever done for you?</t>
  </si>
  <si>
    <t>Generosity</t>
  </si>
  <si>
    <t>Qu'est-ce que tu fais pour les autres sans le crier sur tous les toits ?</t>
  </si>
  <si>
    <t>What do you do for others without shouting it from the rooftops?</t>
  </si>
  <si>
    <t>Quel geste d'amour que tu as reçu, qui t'a marqué récemment ?</t>
  </si>
  <si>
    <t>Gestes d'amour</t>
  </si>
  <si>
    <t>What's a recent act of love you received that really touched you?</t>
  </si>
  <si>
    <t>Acts of Love</t>
  </si>
  <si>
    <t>Quel est ton love language ?</t>
  </si>
  <si>
    <t>What's your love language?</t>
  </si>
  <si>
    <t>En moyenne, combien d'heures passes-tu pour te préparer le matin ?</t>
  </si>
  <si>
    <t>Gestion de Temps</t>
  </si>
  <si>
    <t>On average, how long does it take you to get ready in the morning?</t>
  </si>
  <si>
    <t>Time Management</t>
  </si>
  <si>
    <t>En moyenne, combien de temps-passes tu sur ton téléphone sur une journée ?</t>
  </si>
  <si>
    <t>On average, how many hours a day do you spend on your phone?</t>
  </si>
  <si>
    <t>Quel sont tes bonbons préférés ?</t>
  </si>
  <si>
    <t>Gourmandises</t>
  </si>
  <si>
    <t>What's your favorite candy or sweet?</t>
  </si>
  <si>
    <t>Sweet Tooth</t>
  </si>
  <si>
    <t>Quel est ton péché mignon en général ?</t>
  </si>
  <si>
    <t>What's your general guilty pleasure?</t>
  </si>
  <si>
    <t>Quelle est la dernière chose qui t'a fait pleurer ?</t>
  </si>
  <si>
    <t>Tristesse !</t>
  </si>
  <si>
    <t>What's the last thing that made you cry?</t>
  </si>
  <si>
    <t>Sadness</t>
  </si>
  <si>
    <t>Quels moments du quotidien te rendent vrament le plus triste ?</t>
  </si>
  <si>
    <t>What everyday moments make you the saddest?</t>
  </si>
  <si>
    <t>Quelle personne de ta vie mérite un remerciement que tu ne lui as jamais dit ?</t>
  </si>
  <si>
    <t>Gratitude</t>
  </si>
  <si>
    <t>Who in your life deserves a thank-you that you've never actually said?</t>
  </si>
  <si>
    <t>Quelle est la chose du quotidien pour laquelle tu es le plus reconnaissant(e) ?</t>
  </si>
  <si>
    <t>What everyday thing are you most grateful for?</t>
  </si>
  <si>
    <t>Si tu devais décrire tes amis en 3 mots, lesquels choisirais-tu ?</t>
  </si>
  <si>
    <t>Groupe d'amis</t>
  </si>
  <si>
    <t>If you had to describe your friends in 3 words, which ones would you choose?</t>
  </si>
  <si>
    <t>Friend Group</t>
  </si>
  <si>
    <t>Combien d'amis estimes-tu avoir réellement ?</t>
  </si>
  <si>
    <t>How many real friends do you think you have?</t>
  </si>
  <si>
    <t>Quelle est la qualité que tu cherches en priorité chez quelqu'un avec qui tu travailles ?</t>
  </si>
  <si>
    <t>Groupe de travail</t>
  </si>
  <si>
    <t>What quality do you look for first in someone you work with?</t>
  </si>
  <si>
    <t>Work Team</t>
  </si>
  <si>
    <t>Quelle est ta pire expérience de travail en équipe ?</t>
  </si>
  <si>
    <t>What's your worst experience working in a team?</t>
  </si>
  <si>
    <t>Quelle musique choisirais-tu comme sonnerie d'alarme pour toujours ?</t>
  </si>
  <si>
    <t>Favorites</t>
  </si>
  <si>
    <t>What song would you choose as your permanent alarm tone?</t>
  </si>
  <si>
    <t>Si tu pouvais écouter une seule chanson pour le reste de ta vie, laquelle choisirais-tu ?</t>
  </si>
  <si>
    <t>If you could only listen to one song for the rest of your life, which one would it be?</t>
  </si>
  <si>
    <t>Quel est ton plus gros craquage récent ?</t>
  </si>
  <si>
    <t>Foirages</t>
  </si>
  <si>
    <t>What's your most recent big slip-up?</t>
  </si>
  <si>
    <t>Mess-Ups</t>
  </si>
  <si>
    <t>Quelle est ta pire décision des 3 dernières années ?</t>
  </si>
  <si>
    <t>What's your worst decision in the last 3 years?</t>
  </si>
  <si>
    <t>Qui serait la personne historique que tu aurais aimé rencontrer ?</t>
  </si>
  <si>
    <t>Histoire</t>
  </si>
  <si>
    <t>Which historical figure would you have loved to meet?</t>
  </si>
  <si>
    <t>History</t>
  </si>
  <si>
    <t>Quelle est la période de l'histoire qui te fascine le plus ?</t>
  </si>
  <si>
    <t>What historical period fascinates you the most?</t>
  </si>
  <si>
    <t>Dans quel endroit insolite as-tu déjà fait l'amour ?</t>
  </si>
  <si>
    <t>Histoires insolites</t>
  </si>
  <si>
    <t>What's the most unusual place you've ever had sex?</t>
  </si>
  <si>
    <t>Wild Stories</t>
  </si>
  <si>
    <t>Quelle est la chose la plus audacieuse que tu aies faite en sexe ?</t>
  </si>
  <si>
    <t>What's the boldest thing you've ever done in bed?</t>
  </si>
  <si>
    <t>Si tu pouvais voyager dans une époque passée, laquelle choisirais-tu ?</t>
  </si>
  <si>
    <t>Historique</t>
  </si>
  <si>
    <t>If you could travel to a past era, which one would you choose?</t>
  </si>
  <si>
    <t>Historical</t>
  </si>
  <si>
    <t>Y a-t-il un moment historique qui a changé ta vie ?</t>
  </si>
  <si>
    <t>Is there a historical event that changed your life?</t>
  </si>
  <si>
    <t>Quelle est l’émotion que tu ressens le plus souvent dans une journée ?</t>
  </si>
  <si>
    <t>Humeur</t>
  </si>
  <si>
    <t>What emotion do you feel most often throughout the day?</t>
  </si>
  <si>
    <t>Mood</t>
  </si>
  <si>
    <t>Comment décrirais-tu ton humeur actuelle en quelques mots ?</t>
  </si>
  <si>
    <t>How would you describe your current mood in a few words?</t>
  </si>
  <si>
    <t>Dans ta vie actuelle, quelle est la chose que tu as idéalisée avant d'en faire l'expérience ?</t>
  </si>
  <si>
    <t>Idéalisations</t>
  </si>
  <si>
    <t>What have you idealized in your current life before actually experiencing it?</t>
  </si>
  <si>
    <t>Idealizations</t>
  </si>
  <si>
    <t>Qu'est-ce que tu espères, mais qui n'arrivera probablement jamais ?</t>
  </si>
  <si>
    <t>What do you hope for but know will probably never happen?</t>
  </si>
  <si>
    <t>Comment décrirais-tu ton identité en trois mots à un inconnu ?</t>
  </si>
  <si>
    <t>Identité</t>
  </si>
  <si>
    <t>How would you describe your identity in three words to a stranger?</t>
  </si>
  <si>
    <t>Identity</t>
  </si>
  <si>
    <t>Quelle est ta première valeur, inbouggeable ?</t>
  </si>
  <si>
    <t>What's your number one non-negotiable value?</t>
  </si>
  <si>
    <t>Qu'est-ce que tu as déjà fait d'illégal ?</t>
  </si>
  <si>
    <t>Illégal</t>
  </si>
  <si>
    <t>What's the most illegal thing you've ever done?</t>
  </si>
  <si>
    <t>Illegal Stuff</t>
  </si>
  <si>
    <t>Si tu serais amené à faire quelque chose d'illégal, demain, qu'est-ce que ça serait ?</t>
  </si>
  <si>
    <t>If you were going to do something illegal tomorrow, what would it be?</t>
  </si>
  <si>
    <t>a reformuler</t>
  </si>
  <si>
    <t>Qui du groupe pourrait nous surprendre avec une révélation totalement inattendue ?</t>
  </si>
  <si>
    <t>Imprévisible</t>
  </si>
  <si>
    <t>Who in the group could surprise everyone with a totally unexpected revelation?</t>
  </si>
  <si>
    <t>Unexpected</t>
  </si>
  <si>
    <t>Qui du groupe est le plus mauvais joueur d'Onskoné ?</t>
  </si>
  <si>
    <t>Who in the group is the worst loser at Onskoné?</t>
  </si>
  <si>
    <t>Quel est le meilleur conseil que tu as reçu ?</t>
  </si>
  <si>
    <t>Inspiration</t>
  </si>
  <si>
    <t>What's the best piece of advice you've ever received?</t>
  </si>
  <si>
    <t>Qui est le modèle dans ta vie ?</t>
  </si>
  <si>
    <t>Who is your role model in life?</t>
  </si>
  <si>
    <t>Quelle est ta dernière question à ChatGPT ?</t>
  </si>
  <si>
    <t>Intelligence Artificielle</t>
  </si>
  <si>
    <t>What's your last question to ChatGPT?</t>
  </si>
  <si>
    <t>Artificial Intelligence</t>
  </si>
  <si>
    <t>Sur quel sujet utilises le plus l'IA ?</t>
  </si>
  <si>
    <t>What topic do you use AI for the most?</t>
  </si>
  <si>
    <t>Reformuler</t>
  </si>
  <si>
    <t>Quelle est la dernière page Internet ouverte ?</t>
  </si>
  <si>
    <t>Internet</t>
  </si>
  <si>
    <t>What's the last webpage you had open?</t>
  </si>
  <si>
    <t>Quel est le site Internet que tu visites le plus ?</t>
  </si>
  <si>
    <t>What's the website you visit the most?</t>
  </si>
  <si>
    <t>Quelle est la chose qui te définit le mieux mais qu'on ne voit pas au premier regard ?</t>
  </si>
  <si>
    <t>Introversion</t>
  </si>
  <si>
    <t>What defines you best but isn't visible at first glance?</t>
  </si>
  <si>
    <t>Quel est l'aspect de ta personnalité que les gens découvrent le plus tard ?</t>
  </si>
  <si>
    <t>What aspect of your personality do people discover the latest?</t>
  </si>
  <si>
    <t>Comment tu recharges tes batteries après une grande réunion ou soirée sociale ?</t>
  </si>
  <si>
    <t>Zone de Confort</t>
  </si>
  <si>
    <t>How do you recharge after a big meeting or social evening?</t>
  </si>
  <si>
    <t>Comfort Zone</t>
  </si>
  <si>
    <t>Dans quelle situation te sens-tu le plus dans ta comfort zone ?</t>
  </si>
  <si>
    <t>In what situation do you feel most in your comfort zone?</t>
  </si>
  <si>
    <t>Raconte une fois où ton intuition t'a sauvé d'une mauvaise situation.</t>
  </si>
  <si>
    <t>Intuition</t>
  </si>
  <si>
    <t>Tell us about a time your gut feeling saved you from a bad situation.</t>
  </si>
  <si>
    <t>Gut Feeling</t>
  </si>
  <si>
    <t>Dans quel domaine de ta vie tu suis le plus ton instinct ?</t>
  </si>
  <si>
    <t>In what area of your life do you follow your instincts the most?</t>
  </si>
  <si>
    <t>Quelle est l'invention, pas encore réalisée, qui te faciliterait la vie ?</t>
  </si>
  <si>
    <t>Invention</t>
  </si>
  <si>
    <t>What invention, not yet created, would make your life easier?</t>
  </si>
  <si>
    <t>Inventions</t>
  </si>
  <si>
    <t>Quelle est la meilleure invention de tous les temps selon toi ?</t>
  </si>
  <si>
    <t>What's the greatest invention of all time, according to you?</t>
  </si>
  <si>
    <t>Dans quel domaine tu te surprends parfois à être jaloux/jalouse des autres ?</t>
  </si>
  <si>
    <t>Jalousie</t>
  </si>
  <si>
    <t>What area do you sometimes catch yourself feeling jealous about?</t>
  </si>
  <si>
    <t>Jealousy</t>
  </si>
  <si>
    <t>Quelle réussite d'un proche t'a rendu(e) fier(ère) mais aussi un peu jaloux/jalouse ?</t>
  </si>
  <si>
    <t>What success from someone close made you proud but also a little jealous?</t>
  </si>
  <si>
    <t>Quel est ton jeu de société préféré ?</t>
  </si>
  <si>
    <t>Jeux de société</t>
  </si>
  <si>
    <t>What's your favorite board game?</t>
  </si>
  <si>
    <t>Board Games</t>
  </si>
  <si>
    <t>Quel est le jeu de société qui te soûle royalement ?</t>
  </si>
  <si>
    <t>What's the board game that drives you absolutely crazy?</t>
  </si>
  <si>
    <t>Quel était ton jouet préféré ?</t>
  </si>
  <si>
    <t>Jeux d'enfance</t>
  </si>
  <si>
    <t>What was your favorite toy as a child?</t>
  </si>
  <si>
    <t>Childhood Games</t>
  </si>
  <si>
    <t>Quelle était ton activité préférée quand tu étais enfant ?</t>
  </si>
  <si>
    <t>What was your favorite activity when you were a kid?</t>
  </si>
  <si>
    <t>Quel est ton jeu-vidéo favori ?</t>
  </si>
  <si>
    <t>Jeux-Vidéos</t>
  </si>
  <si>
    <t>What's your favorite video game?</t>
  </si>
  <si>
    <t>Video Games</t>
  </si>
  <si>
    <t>Quel est ton personnage de jeux vidéos favori ?</t>
  </si>
  <si>
    <t>What's your favorite video game character?</t>
  </si>
  <si>
    <t>Si tu pouvais changer une seule loi dans ton pays, laquelle ce serait ?</t>
  </si>
  <si>
    <t>Justice</t>
  </si>
  <si>
    <t>If you could change one law in your country, which one would it be?</t>
  </si>
  <si>
    <t>Quelle injustice ou histoire injuste t'a le plus révolté(e) dans ta vie personnelle ?</t>
  </si>
  <si>
    <t>What injustice in your personal life has outraged you the most?</t>
  </si>
  <si>
    <t>Quel est le fou rire dont tu te souviens encore ?</t>
  </si>
  <si>
    <t>Des barres</t>
  </si>
  <si>
    <t>What's a laughing fit you still remember?</t>
  </si>
  <si>
    <t>Hilarious Moments</t>
  </si>
  <si>
    <t>Quelle est la situation de ta vie qui, avec le recul, est devenue hilarante alors qu'elle était catastrophique ?</t>
  </si>
  <si>
    <t>What situation in your life became hilarious in hindsight, even though it was a disaster at the time?</t>
  </si>
  <si>
    <t>Quelle est la chose que tu voudrais qu'on retienne de toi après ta mort ?</t>
  </si>
  <si>
    <t>Héritage</t>
  </si>
  <si>
    <t>What one thing would you want people to remember about you after you're gone?</t>
  </si>
  <si>
    <t>Legacy</t>
  </si>
  <si>
    <t>Si tu devais laisser une lettre à tes proches pour dans 30 ans, quel serait le premier mot ?</t>
  </si>
  <si>
    <t>If you had to leave a letter for your loved ones to open in 30 years, what would the first word be?</t>
  </si>
  <si>
    <t>Quelle tendance actuelle de société te dépasse complètement ?</t>
  </si>
  <si>
    <t>La société française</t>
  </si>
  <si>
    <t>What current societal trend completely baffles you?</t>
  </si>
  <si>
    <t>Society Today</t>
  </si>
  <si>
    <t>Si tu devais décrire la société française actuelle en 3 mots, lesquels seraient-t'ils ?</t>
  </si>
  <si>
    <t>If you had to describe today's society in 3 words, what would they be?</t>
  </si>
  <si>
    <t>Si ce groupe devrait jouer dans un film, quel rôle tu as ?</t>
  </si>
  <si>
    <t>Vie de Groupe</t>
  </si>
  <si>
    <t>If this group starred in a film, what role would you play?</t>
  </si>
  <si>
    <t>Group Dynamics</t>
  </si>
  <si>
    <t>Quelle chose penses-tu sur ton voisin de droite que tu ne lui as jamais dite en face ?</t>
  </si>
  <si>
    <t>What do you think about the person on your right that you've never said to their face?</t>
  </si>
  <si>
    <t>Quel est ton niveau en anglais/10 ?</t>
  </si>
  <si>
    <t>Duolingo</t>
  </si>
  <si>
    <t>What's your English level out of 10?</t>
  </si>
  <si>
    <t>Language Skills</t>
  </si>
  <si>
    <t>Quelle est la langue que tu aimerais apprendre ?</t>
  </si>
  <si>
    <t>What language would you love to learn?</t>
  </si>
  <si>
    <t>Quel moment de ta vie tu penses avoir rater, mais qui s'est révélé être une chance incroyable ?</t>
  </si>
  <si>
    <t>Le destin</t>
  </si>
  <si>
    <t>What moment do you think you missed, but that turned out to be an incredible opportunity?</t>
  </si>
  <si>
    <t>Destiny</t>
  </si>
  <si>
    <t>Comment imagines-tu ton destin ?</t>
  </si>
  <si>
    <t>How do you picture your destiny?</t>
  </si>
  <si>
    <t>Quelle est la réalité que tu as apprise sur la famille, que personne ne t'avait dite ?</t>
  </si>
  <si>
    <t>Leçon d'Amitié</t>
  </si>
  <si>
    <t>What truth about family did you learn that nobody told you?</t>
  </si>
  <si>
    <t>Friendship Lessons</t>
  </si>
  <si>
    <t>Quelle est la chose que tu as apprise sur l'amitié que personne ne t'avait dite ?</t>
  </si>
  <si>
    <t>What truth about friendship did you learn that nobody told you?</t>
  </si>
  <si>
    <t>Si tu écrivais ton propre épitaphe, que dirais-tu en une phrase ?</t>
  </si>
  <si>
    <t>La mort !</t>
  </si>
  <si>
    <t>If you were writing your own epitaph, what would you say in one sentence?</t>
  </si>
  <si>
    <t>Death &amp; Legacy</t>
  </si>
  <si>
    <t>Quelle serait ta façon de mourir, la plus probable en dehors de la mort naturelle ?</t>
  </si>
  <si>
    <t>What would be your most likely cause of death, outside of natural causes?</t>
  </si>
  <si>
    <t>Quelle compétence tu as apprise seul(e), sans jamais être formé(e), et dont tu es fier(ère) ?</t>
  </si>
  <si>
    <t>Leçons Dures</t>
  </si>
  <si>
    <t>What skill did you teach yourself, with no training, and that you're proud of?</t>
  </si>
  <si>
    <t>Hard Lessons</t>
  </si>
  <si>
    <t>Quelle est la leçon de vie qui t'a coûté le plus cher à apprendre ?</t>
  </si>
  <si>
    <t>What's the most expensive life lesson you've had to learn?</t>
  </si>
  <si>
    <t>Quel est ton livre préféré ?</t>
  </si>
  <si>
    <t>Lecture</t>
  </si>
  <si>
    <t>What's your favorite book?</t>
  </si>
  <si>
    <t>Reading</t>
  </si>
  <si>
    <t>Qu'est-ce que la génération précédente a selon toi mieux géré que la tienne ?</t>
  </si>
  <si>
    <t>Les anciens</t>
  </si>
  <si>
    <t>What did the older generation handle better than yours, in your opinion?</t>
  </si>
  <si>
    <t>The Older Generation</t>
  </si>
  <si>
    <t>Qui ne fait pas du tout son âge ?</t>
  </si>
  <si>
    <t>Who doesn't look their age at all?</t>
  </si>
  <si>
    <t>Quel est le sport ou tu as des chances d'être médaillé aux JO ?</t>
  </si>
  <si>
    <t>Les JO</t>
  </si>
  <si>
    <t>What sport do you have a shot at winning a medal in at the Olympics?</t>
  </si>
  <si>
    <t>The Olympics</t>
  </si>
  <si>
    <t>Quel est le sport le plus atypique que tu as pu voir en vrai ?</t>
  </si>
  <si>
    <t>What's the most unusual sport you've ever watched live?</t>
  </si>
  <si>
    <t>Si tu devais expliquer à un enfant de 10 ans ce qui compte vraiment dans la vie, que lui dirais-tu ?</t>
  </si>
  <si>
    <t>La vie</t>
  </si>
  <si>
    <t>If you had to explain to a 10-year-old what truly matters in life, what would you say?</t>
  </si>
  <si>
    <t>Life Itself</t>
  </si>
  <si>
    <t>Résumes en une phrase la vie humaine</t>
  </si>
  <si>
    <t>Summarize human life in one sentence.</t>
  </si>
  <si>
    <t>Quel est le dernier livre que tu as lu ?</t>
  </si>
  <si>
    <t>Livres</t>
  </si>
  <si>
    <t>What's the last book you read?</t>
  </si>
  <si>
    <t>Books</t>
  </si>
  <si>
    <t>Quel est le livre que tu recommandes le plus souvent ?</t>
  </si>
  <si>
    <t>What's the book you recommend the most often?</t>
  </si>
  <si>
    <t>Si tu devais estimer le nombre de livres que tu as lus dans ta vie, c'est combien, honnêtement ?</t>
  </si>
  <si>
    <t>If you had to estimate the number of books you've read in your life, how many, honestly?</t>
  </si>
  <si>
    <t>Quel est le loisir que tu trouves totalement surestimé ?</t>
  </si>
  <si>
    <t>Loisirs à faire</t>
  </si>
  <si>
    <t>What's a hobby you find totally overrated?</t>
  </si>
  <si>
    <t>Hobbies to Try</t>
  </si>
  <si>
    <t>Quel est le loisir le plus coûteux que tu aimerais essayer ?</t>
  </si>
  <si>
    <t>What's the most expensive hobby you'd love to try?</t>
  </si>
  <si>
    <t>Quelle est l'activité que tu adores faire, mais ou tu es vraiment nul/nulle ?</t>
  </si>
  <si>
    <t>Loisirs Insolites</t>
  </si>
  <si>
    <t>What activity do you love but are genuinely terrible at?</t>
  </si>
  <si>
    <t>Unusual Hobbies</t>
  </si>
  <si>
    <t>Quel est le loisir le plus insolite que tu as essayé, une fois ?</t>
  </si>
  <si>
    <t>What's the most unusual hobby you've tried, even just once?</t>
  </si>
  <si>
    <t>Quelle est la chose dont tu ne pourrais pas te passer dans ton logement actuel ?</t>
  </si>
  <si>
    <t>Maison</t>
  </si>
  <si>
    <t>What's the one thing in your current home you couldn't live without?</t>
  </si>
  <si>
    <t>Home</t>
  </si>
  <si>
    <t>Quelle est la pièce de ta maison dans laquelle tu passes le plus de temps, et pourquoi ?</t>
  </si>
  <si>
    <t>What room in your home do you spend the most time in, and why?</t>
  </si>
  <si>
    <t>Quel est le plat que tu pourrais manger tous les jours ?</t>
  </si>
  <si>
    <t>Manger</t>
  </si>
  <si>
    <t>What dish could you eat every single day?</t>
  </si>
  <si>
    <t>Food</t>
  </si>
  <si>
    <t>Quelle est la chose la plus étrange que tu aies mangé ?</t>
  </si>
  <si>
    <t>What's the strangest thing you've ever eaten?</t>
  </si>
  <si>
    <t>Quelle est la manie que tu as et dont tu sais qu'elle énerve les gens autour de toi ?</t>
  </si>
  <si>
    <t>Manies</t>
  </si>
  <si>
    <t>What quirk do you have that you know irritates the people around you?</t>
  </si>
  <si>
    <t>Quirks</t>
  </si>
  <si>
    <t>Quelle est la chose que tu dois absolument faire d'une certaine façon, sinon la journée commence mal ?</t>
  </si>
  <si>
    <t>What do you absolutely need to do a certain way, or the whole day starts off wrong?</t>
  </si>
  <si>
    <t>Quelle chose as-tu déjà faite, ou t'y es tu intéressé, uniquement à tes propres fins pour manipuler quelqu'un ?</t>
  </si>
  <si>
    <t>Manigances</t>
  </si>
  <si>
    <t>What have you done — or considered doing — purely to manipulate someone for your own benefit?</t>
  </si>
  <si>
    <t>Scheming</t>
  </si>
  <si>
    <t>Quelle histoire marrante peux-tu raconter, après avoir arnaqué quelqu'un gentiment ?</t>
  </si>
  <si>
    <t>What's a funny story you can tell about pulling a harmless scam on someone?</t>
  </si>
  <si>
    <t>Qui du groupe arrive toujours en retard ?</t>
  </si>
  <si>
    <t>Mauvais comportements</t>
  </si>
  <si>
    <t>Who in the group is always late?</t>
  </si>
  <si>
    <t>Bad Habits</t>
  </si>
  <si>
    <t>Qui du groupe garderait son calme dans le chaos ?</t>
  </si>
  <si>
    <t>Who in the group would stay calm in total chaos?</t>
  </si>
  <si>
    <t>Quelle est l'erreur que tu as faite plusieurs fois avant de vraiment en tirer la leçon ?</t>
  </si>
  <si>
    <t>Leçons</t>
  </si>
  <si>
    <t>What mistake did you make multiple times before you truly learned from it?</t>
  </si>
  <si>
    <t>Life Lessons</t>
  </si>
  <si>
    <t>Si tu pouvais envoyer un message à la version de toi d'il y a 10 ans, que dirais-tu en une phrase ?</t>
  </si>
  <si>
    <t>If you could send a message to yourself 10 years ago, what would you say in one sentence?</t>
  </si>
  <si>
    <t>Quel est ton mécanisme de défense préféré face au conflit ?</t>
  </si>
  <si>
    <t>Mécanismes</t>
  </si>
  <si>
    <t>What's your preferred defense mechanism when facing conflict?</t>
  </si>
  <si>
    <t>Defense Mechanisms</t>
  </si>
  <si>
    <t>Quelle est la trahison qui t'a mis le plus longtemps à surmonter ?</t>
  </si>
  <si>
    <t>What betrayal took you the longest to get over?</t>
  </si>
  <si>
    <t>Comment tu t'informes sur l'actualité ?</t>
  </si>
  <si>
    <t>Médias</t>
  </si>
  <si>
    <t>How do you keep up with current events?</t>
  </si>
  <si>
    <t>Media</t>
  </si>
  <si>
    <t>Quelle info récente t'a le plus surpris(e) ou choqué(e) ?</t>
  </si>
  <si>
    <t>What recent news surprised or shocked you the most?</t>
  </si>
  <si>
    <t>Quel est le nom de ton(a) meilleur(e) ami(e) ?</t>
  </si>
  <si>
    <t>Meilleur Pote</t>
  </si>
  <si>
    <t>What's your best friend's name?</t>
  </si>
  <si>
    <t>Best Friend</t>
  </si>
  <si>
    <t>Depuis combien d'années connais-tu ton meilleur ami ?</t>
  </si>
  <si>
    <t>How many years have you known your best friend?</t>
  </si>
  <si>
    <t>Quel est le souvenir le plus ancien dont tu te souviennes avec précision ?</t>
  </si>
  <si>
    <t>Mémoire</t>
  </si>
  <si>
    <t>What's the earliest memory you can recall with precision?</t>
  </si>
  <si>
    <t>Memory</t>
  </si>
  <si>
    <t>Quelle est la chose que tu oublies systématiquement, peu importe tes efforts ?</t>
  </si>
  <si>
    <t>What do you systematically forget, no matter how hard you try?</t>
  </si>
  <si>
    <t>Quelle célébrité mériterait plus de reconnaissance ?</t>
  </si>
  <si>
    <t>Mes favs</t>
  </si>
  <si>
    <t>What celebrity deserves more recognition?</t>
  </si>
  <si>
    <t>My Faves</t>
  </si>
  <si>
    <t>Qui est ta célébrité favorite ?</t>
  </si>
  <si>
    <t>Who's your favorite celebrity?</t>
  </si>
  <si>
    <t>Quel est le métier que tu imagines faire dans 10 ans ?</t>
  </si>
  <si>
    <t>Métier</t>
  </si>
  <si>
    <t>What job do you picture yourself in 10 years?</t>
  </si>
  <si>
    <t>Career</t>
  </si>
  <si>
    <t>À partir de quel salaire mensuel te sentirais-tu vraiment à l'aise ?</t>
  </si>
  <si>
    <t>What monthly salary would make you feel genuinely comfortable?</t>
  </si>
  <si>
    <t>Quel est le moment sportif qui t’a le plus marqué en tant que spectateur ?</t>
  </si>
  <si>
    <t>Moment</t>
  </si>
  <si>
    <t>What sports moment most marked you as a spectator?</t>
  </si>
  <si>
    <t>Key Moments</t>
  </si>
  <si>
    <t>Quel moment anodin s'est révélé être plus marquant avec le temps ?</t>
  </si>
  <si>
    <t>What seemingly ordinary moment turned out to be more significant over time?</t>
  </si>
  <si>
    <t>Quel est le souvenir le plus marquant que tu gardes de tes années lycée ?</t>
  </si>
  <si>
    <t>Moments marquants</t>
  </si>
  <si>
    <t>What's the most memorable moment from your high school years?</t>
  </si>
  <si>
    <t>Defining Moments</t>
  </si>
  <si>
    <t>Quel est ton plus beau souvenir de fête ou de soirée ?</t>
  </si>
  <si>
    <t>What's your best memory from a party or night out?</t>
  </si>
  <si>
    <t>Quel est le mot que tu utilises trop souvent ?</t>
  </si>
  <si>
    <t>Mots du quotidien</t>
  </si>
  <si>
    <t>What word do you use too often?</t>
  </si>
  <si>
    <t>Everyday Words</t>
  </si>
  <si>
    <t>Quel est le mot que tu détestes entendre ?</t>
  </si>
  <si>
    <t>What word do you hate hearing?</t>
  </si>
  <si>
    <t>Quel est ton gros mot le plus utilisé ?</t>
  </si>
  <si>
    <t>Mots spécifiques</t>
  </si>
  <si>
    <t>What's your most-used swear word?</t>
  </si>
  <si>
    <t>Specific Words</t>
  </si>
  <si>
    <t>Quel est pour toi le mot le plus beau de la langue française ?</t>
  </si>
  <si>
    <t>What's the most beautiful word in the English language, according to you?</t>
  </si>
  <si>
    <t>Quel est ton musicien/groupe de musique préféré ?</t>
  </si>
  <si>
    <t>Musique</t>
  </si>
  <si>
    <t>Who's your favorite musician or band?</t>
  </si>
  <si>
    <t>Music</t>
  </si>
  <si>
    <t>Quel est l'instrument de musique que tu rêverais d'apprendre ?</t>
  </si>
  <si>
    <t>What musical instrument would you love to learn to play?</t>
  </si>
  <si>
    <t>Si tu devais disparaître de ta vie actuelle pour 6 mois sans que personne ne sache où tu es, que ferais-tu ?</t>
  </si>
  <si>
    <t>Liberté</t>
  </si>
  <si>
    <t>If you could disappear from your current life for 6 months without anyone knowing where you are, what would you do?</t>
  </si>
  <si>
    <t>Freedom</t>
  </si>
  <si>
    <t>Si tu devais recommencer ta vie à 18 ans en ne gardant que tes souvenirs actuels, que ferais-tu différemment ?</t>
  </si>
  <si>
    <t>If you had to restart your life at 18 keeping only your current memories, what would you do differently?</t>
  </si>
  <si>
    <t>Quelle est la chose la plus embarrassante que tu aies faite récemment ?</t>
  </si>
  <si>
    <t>Genance</t>
  </si>
  <si>
    <t>What's the most embarrassing thing you've done recently?</t>
  </si>
  <si>
    <t>Awkward Moments</t>
  </si>
  <si>
    <t>Qu'est-ce que tu trouves le plus gênant ?</t>
  </si>
  <si>
    <t>What do you find the most awkward?</t>
  </si>
  <si>
    <t>Quelle est la pire excuse que tu aies inventée pour te sortir d’un mauvais pas ?</t>
  </si>
  <si>
    <t>Gros mythos</t>
  </si>
  <si>
    <t>What's the worst excuse you've ever made up to get out of a difficult situation?</t>
  </si>
  <si>
    <t>Big Lies</t>
  </si>
  <si>
    <t>Quel est le mensonge le plus crédible que tu aies déjà raconté ?</t>
  </si>
  <si>
    <t>What's the most convincing lie you've ever told?</t>
  </si>
  <si>
    <t>Si tu devais vivre dans un environnement naturel précis (montagne, mer, forêt, désert…), lequel choisirais-tu ?</t>
  </si>
  <si>
    <t>Nature</t>
  </si>
  <si>
    <t>If you had to live in one specific natural environment (mountains, ocean, forest, desert...), which would you choose?</t>
  </si>
  <si>
    <t>Quel phénomène naturel t'a le plus impressionné dans ta vie ?</t>
  </si>
  <si>
    <t>What natural phenomenon has impressed you the most in your life?</t>
  </si>
  <si>
    <t>Quelle est l'activité en pleine nature que tu n'as jamais faite mais qui te fait rêver ?</t>
  </si>
  <si>
    <t>Sorties nature</t>
  </si>
  <si>
    <t>What outdoor activity have you never tried but dream of doing?</t>
  </si>
  <si>
    <t>Outdoor Activities</t>
  </si>
  <si>
    <t>Quel paysage naturel du monde te fait rêver ?</t>
  </si>
  <si>
    <t>What natural landscape in the world makes you dream?</t>
  </si>
  <si>
    <t>Quelle est la chose la plus immature que tu fais encore ?</t>
  </si>
  <si>
    <t>Mauvaises habitudes</t>
  </si>
  <si>
    <t>What's the most immature thing you still do?</t>
  </si>
  <si>
    <t>Quelle a été ta pire addiction ?</t>
  </si>
  <si>
    <t>What's been your worst addiction?</t>
  </si>
  <si>
    <t>Quelle est l'odeur qui te ramène instantanément à un souvenir précis ?</t>
  </si>
  <si>
    <t>Nostalgie</t>
  </si>
  <si>
    <t>What smell instantly transports you back to a specific memory?</t>
  </si>
  <si>
    <t>Nostalgia</t>
  </si>
  <si>
    <t>Qu'est-ce que tu faisais souvent avant, mais plus maintenant, et heureusement ?</t>
  </si>
  <si>
    <t>What did you used to do often that you no longer do — and good riddance?</t>
  </si>
  <si>
    <t>Quel est l'activité que tu aies jamais fait, depuis le temps que t'en parles ?</t>
  </si>
  <si>
    <t>Nouvelles Activités</t>
  </si>
  <si>
    <t>What activity have you never gotten around to doing, even though you've been talking about it for ages?</t>
  </si>
  <si>
    <t>New Activities</t>
  </si>
  <si>
    <t>Quelle est l'activité la plus extrême que tu serais capable de faire ?</t>
  </si>
  <si>
    <t>What's the most extreme activity you'd be capable of doing?</t>
  </si>
  <si>
    <t>Qu'est-ce que tu fais quand tu n'arrives pas à dormir à 3h du matin ?</t>
  </si>
  <si>
    <t>Insomnie</t>
  </si>
  <si>
    <t>What do you do when you can't sleep at 3am?</t>
  </si>
  <si>
    <t>Insomnia</t>
  </si>
  <si>
    <t>Quel est le meilleur souvenir de nuit blanche que tu aies vécu ?</t>
  </si>
  <si>
    <t>What's your best memory from an all-nighter?</t>
  </si>
  <si>
    <t>Quel exploit physique voudrais-tu être capable de faire ?</t>
  </si>
  <si>
    <t>Objectifs sportifs</t>
  </si>
  <si>
    <t>What physical feat would you love to be capable of?</t>
  </si>
  <si>
    <t>Sports Goals</t>
  </si>
  <si>
    <t>Quel est ton plus grand objectif dans la vie ?</t>
  </si>
  <si>
    <t>Objectifs</t>
  </si>
  <si>
    <t>What's your biggest goal in life?</t>
  </si>
  <si>
    <t>Goals</t>
  </si>
  <si>
    <t>Quel aspect de toi aimerais-tu améliorer cette année ?</t>
  </si>
  <si>
    <t>What aspect of yourself would you most like to improve this year?</t>
  </si>
  <si>
    <t>Qu'est-ce que tu veux changer cette année ?</t>
  </si>
  <si>
    <t>What do you want to change this year?</t>
  </si>
  <si>
    <t>Quel est l’objectif que tu t’es fixé 10 fois mais que tu n’as jamais réussi à tenir ?</t>
  </si>
  <si>
    <t>Objectifs Jamais Tenus</t>
  </si>
  <si>
    <t>What goal have you set for yourself 10 times but never managed to keep?</t>
  </si>
  <si>
    <t>Never-Kept Goals</t>
  </si>
  <si>
    <t>Quelle est la décision que tu continues à remettre à demain depuis trop longtemps ?</t>
  </si>
  <si>
    <t>What decision have you been putting off for way too long?</t>
  </si>
  <si>
    <t>Quel est l'objet le plus étrange que tu possèdes ?</t>
  </si>
  <si>
    <t>Objets Bizarres</t>
  </si>
  <si>
    <t>What's the strangest object you own?</t>
  </si>
  <si>
    <t>Weird Objects</t>
  </si>
  <si>
    <t>Quel est l'objet le plus inutile que tu possèdes chez toi, mais que tu refuses d'abandonner ?</t>
  </si>
  <si>
    <t>What's the most useless object in your home that you still refuse to throw away?</t>
  </si>
  <si>
    <t>Si tu devrais survivre la journée avec un seul objet (hors portable), que choisis-tu ?</t>
  </si>
  <si>
    <t>Objets du Quotidien</t>
  </si>
  <si>
    <t>If you had to get through the whole day with just one object (no phone), what would you choose?</t>
  </si>
  <si>
    <t>Everyday Objects</t>
  </si>
  <si>
    <t>Quel est l'objet du quotidien, que tout le monde utilise, dont tu n'as jamais saisi l'utilité ?</t>
  </si>
  <si>
    <t>What everyday object that everyone uses have you never understood the point of?</t>
  </si>
  <si>
    <t>Quelle odeur tu ne supportes pas ?</t>
  </si>
  <si>
    <t>Odeur</t>
  </si>
  <si>
    <t>What smell can you absolutely not stand?</t>
  </si>
  <si>
    <t>Smells</t>
  </si>
  <si>
    <t>Quelle est la plus belle odeur du monde pour toi ?</t>
  </si>
  <si>
    <t>What's the most beautiful smell in the world to you?</t>
  </si>
  <si>
    <t>Qui est-ce que tu n'aimes pas mais que tu n'oses pas avouer (sauf maintenant) ?</t>
  </si>
  <si>
    <t>On s'en doutait pas</t>
  </si>
  <si>
    <t>Who don't you like but haven't dared admit it (until now)?</t>
  </si>
  <si>
    <t>Surprising Truths</t>
  </si>
  <si>
    <t>Qui est-ce que vous aimez bien mais que vous n'osez pas avouer (sauf maintenant) ?</t>
  </si>
  <si>
    <t>Who do you secretly like but haven't dared admit it (until now)?</t>
  </si>
  <si>
    <t>Qu'est-ce que tu as regretté de faire, récemment ?</t>
  </si>
  <si>
    <t>Pardon</t>
  </si>
  <si>
    <t>What have you regretted doing recently?</t>
  </si>
  <si>
    <t>Forgiveness</t>
  </si>
  <si>
    <t>Quelle est la chose pour laquelle tu n'as jamais vraiment demandé pardon mais que tu aurais dû ?</t>
  </si>
  <si>
    <t>What's something you never truly apologized for but should have?</t>
  </si>
  <si>
    <t>Quel est le talent ou la particularité propre à un de tes parents, et dont tu as hérité sans le choisir ?</t>
  </si>
  <si>
    <t>Transmission</t>
  </si>
  <si>
    <t>What talent or trait from one of your parents did you inherit without choosing it?</t>
  </si>
  <si>
    <t>What Gets Passed Down</t>
  </si>
  <si>
    <t>Qu'est-ce que tu aimerais transmettre à tes enffants ?</t>
  </si>
  <si>
    <t>Education</t>
  </si>
  <si>
    <t>What values would you want to pass on to your kids?</t>
  </si>
  <si>
    <t>Parenting</t>
  </si>
  <si>
    <t>Quelle serait ta règle d'or si tu étais parent ?</t>
  </si>
  <si>
    <t>What would be your golden rule if you were a parent?</t>
  </si>
  <si>
    <t>Quel est le principal point commun avec ta fratrie ?</t>
  </si>
  <si>
    <t>What's the main thing you have in common with your siblings?</t>
  </si>
  <si>
    <t>Si tu avais une fille demain, quel prénom lui donnerais-tu ?</t>
  </si>
  <si>
    <t>Parents</t>
  </si>
  <si>
    <t>If you had a daughter tomorrow, what name would you give her?</t>
  </si>
  <si>
    <t>Parents &amp; Kids</t>
  </si>
  <si>
    <t>Si tu avais un garçon demain, quel prénom lui donnerais-tu ?</t>
  </si>
  <si>
    <t>If you had a son tomorrow, what name would you give him?</t>
  </si>
  <si>
    <t>Quel est le pays qui ne te fait PAS DU TOUT envie ?</t>
  </si>
  <si>
    <t>Pays</t>
  </si>
  <si>
    <t>What country absolutely does NOT appeal to you?</t>
  </si>
  <si>
    <t>Countries</t>
  </si>
  <si>
    <t>Si tu pouvais faire un road trip d'un mois, quel pays choisirais-tu ?</t>
  </si>
  <si>
    <t>If you could do a one-month road trip, which country would you choose?</t>
  </si>
  <si>
    <t>Quel est le plus gros objet que tu aies perdu ?</t>
  </si>
  <si>
    <t>Perte</t>
  </si>
  <si>
    <t>What's the biggest object you've ever lost?</t>
  </si>
  <si>
    <t>Losses</t>
  </si>
  <si>
    <t>Dans quoi dépenses-tu le plus d'argent inutilement ?</t>
  </si>
  <si>
    <t>What do you spend the most money on pointlessly?</t>
  </si>
  <si>
    <t>Quelle est la chose qui te rend immédiatement heureux ?</t>
  </si>
  <si>
    <t>Petits Plaisirs</t>
  </si>
  <si>
    <t>What instantly makes you happy?</t>
  </si>
  <si>
    <t>Little Pleasures</t>
  </si>
  <si>
    <t>Quel est ton moment préféré de la journée ?</t>
  </si>
  <si>
    <t>What's your favorite moment of the day?</t>
  </si>
  <si>
    <t>Quelle est ta plus grande peur ?</t>
  </si>
  <si>
    <t>Peurs</t>
  </si>
  <si>
    <t>What's your biggest fear?</t>
  </si>
  <si>
    <t>Fears</t>
  </si>
  <si>
    <t>Quel est le lieu ou l’endroit qui te met le plus mal à l'aise ?</t>
  </si>
  <si>
    <t>What place or location makes you the most uncomfortable?</t>
  </si>
  <si>
    <t>Quelle est la tenue dans laquelle tu te sens vraiment toi-même à 100% ?</t>
  </si>
  <si>
    <t>Mode</t>
  </si>
  <si>
    <t>What outfit makes you feel 100% yourself?</t>
  </si>
  <si>
    <t>Fashion</t>
  </si>
  <si>
    <t>Pour toi, quelle personne qui a le plus de style et à que tu aimerais ressembler ?</t>
  </si>
  <si>
    <t>Who has the most style, in your opinion, and that you'd love to look like?</t>
  </si>
  <si>
    <t>Quelle est la photo sur ton téléphone que tu n'arriveras jamais à supprimer, et pourquoi ?</t>
  </si>
  <si>
    <t>Photo</t>
  </si>
  <si>
    <t>What photo on your phone will you never be able to delete, and why?</t>
  </si>
  <si>
    <t>Photography</t>
  </si>
  <si>
    <t>Si tu devais capturer ta vie en une seule photo aujourd'hui, quelle scène montrerais-tu ?</t>
  </si>
  <si>
    <t>If you could capture your life in a single photo today, what scene would you show?</t>
  </si>
  <si>
    <t>Qui serait le plus fort du groupe dans une baston ?</t>
  </si>
  <si>
    <t>Who in the group would win in a fight?</t>
  </si>
  <si>
    <t>Qui est le meilleur pour solidifer et rassembler ce groupe ?</t>
  </si>
  <si>
    <t>Who's best at bringing this group together and keeping it solid?</t>
  </si>
  <si>
    <t>Quel est ton fruit préféré ?</t>
  </si>
  <si>
    <t>Gouts</t>
  </si>
  <si>
    <t>What's your favorite fruit?</t>
  </si>
  <si>
    <t>Tastes</t>
  </si>
  <si>
    <t>Quel est l'aliment/repas que tu détestes le plus ?</t>
  </si>
  <si>
    <t>What's the food or meal you hate the most?</t>
  </si>
  <si>
    <t>Quel a été le plus beau moment de ta vie jusqu'à présent ?</t>
  </si>
  <si>
    <t>Plus Beau Moment</t>
  </si>
  <si>
    <t>What's been the most beautiful moment of your life so far?</t>
  </si>
  <si>
    <t>Most Beautiful Moment</t>
  </si>
  <si>
    <t>A quel moment de ta vie penses-tu souvent en ce moment ?</t>
  </si>
  <si>
    <t>What moment in your life do you find yourself thinking about a lot lately?</t>
  </si>
  <si>
    <t>Si tu animais ton propre podcast, quel en serait le sujet et le nom ?</t>
  </si>
  <si>
    <t>Podcast</t>
  </si>
  <si>
    <t>If you hosted your own podcast, what would the topic and name be?</t>
  </si>
  <si>
    <t>Podcasts</t>
  </si>
  <si>
    <t>Quel podcast ou émission audio t'a le plus appris quelque chose en dehors de l'école ?</t>
  </si>
  <si>
    <t>What podcast or audio show taught you the most outside of school?</t>
  </si>
  <si>
    <t>Quel serait le mot pour surnommer tout ce groupe ?</t>
  </si>
  <si>
    <t>Points communs</t>
  </si>
  <si>
    <t>What one word would you use to nickname this entire group?</t>
  </si>
  <si>
    <t>Common Ground</t>
  </si>
  <si>
    <t>Quel est le plus grand point commun entre les membres de ce groupe ?</t>
  </si>
  <si>
    <t>What's the biggest thing the members of this group have in common?</t>
  </si>
  <si>
    <t>Pour qui as-tu voté aux dernières élections présidentielles ?</t>
  </si>
  <si>
    <t>Politique</t>
  </si>
  <si>
    <t>Who did you vote for in the last election?</t>
  </si>
  <si>
    <t>Politics</t>
  </si>
  <si>
    <t>Pour qui tu voterais aux prochaines élections présidentielles ?</t>
  </si>
  <si>
    <t>Who would you vote for in the next election?</t>
  </si>
  <si>
    <t>Sur quelle application portable passes-tu le plus de temps inutilement ?</t>
  </si>
  <si>
    <t>Portable</t>
  </si>
  <si>
    <t>What app do you waste the most time on pointlessly?</t>
  </si>
  <si>
    <t>Phone Habits</t>
  </si>
  <si>
    <t>Dessines l'emoji que tu utilises le plus ?</t>
  </si>
  <si>
    <t>Draw the emoji you use the most.</t>
  </si>
  <si>
    <t>Quelle est ta position préférée au lit ?</t>
  </si>
  <si>
    <t>Position &amp; Positions</t>
  </si>
  <si>
    <t>What's your favorite position in bed?</t>
  </si>
  <si>
    <t>Positions</t>
  </si>
  <si>
    <t>Quelle est l'activité sexuelle que tu n'oseras jamais faire ?</t>
  </si>
  <si>
    <t>What sexual activity would you never do?</t>
  </si>
  <si>
    <t>Si tu pouvais lire dans les pensées d'une seule personne, qui choisirais-tu ?</t>
  </si>
  <si>
    <t>Pensées</t>
  </si>
  <si>
    <t>If you could read one person's mind, who would you choose?</t>
  </si>
  <si>
    <t>Thoughts</t>
  </si>
  <si>
    <t>Quel est ton plus gros mensonge récent ?</t>
  </si>
  <si>
    <t>Mythos</t>
  </si>
  <si>
    <t>What's your most recent big lie?</t>
  </si>
  <si>
    <t>Lies &amp; Myths</t>
  </si>
  <si>
    <t>Quel est le sport ou tu es vraiment le pire, malgré tous tes efforts ?</t>
  </si>
  <si>
    <t>Pratique sportive</t>
  </si>
  <si>
    <t>What sport are you genuinely terrible at, despite all your efforts?</t>
  </si>
  <si>
    <t>Sports Practice</t>
  </si>
  <si>
    <t>Quel est le sport que tu pratiques ou as pratiqué le plus longtemps dans ta vie ?</t>
  </si>
  <si>
    <t>What sport have you played the longest in your life?</t>
  </si>
  <si>
    <t>Quel prénom détestes-tu ?</t>
  </si>
  <si>
    <t>Prénoms</t>
  </si>
  <si>
    <t>What name do you hate?</t>
  </si>
  <si>
    <t>Names</t>
  </si>
  <si>
    <t>Quel prénom trouves-tu le plus stylé ?</t>
  </si>
  <si>
    <t>What name do you think is the coolest?</t>
  </si>
  <si>
    <t>Quel est le prénom que l'on utilise le moins de toi ?</t>
  </si>
  <si>
    <t>Ton prénom</t>
  </si>
  <si>
    <t>What's a nickname that's used for you the least?</t>
  </si>
  <si>
    <t>Your Name</t>
  </si>
  <si>
    <t>Si tu devais changer de prénom, lequel choisirais-tu ?</t>
  </si>
  <si>
    <t>If you had to change your name, what would you choose?</t>
  </si>
  <si>
    <t>Quel est le métier imaginaire ou fictif que tu aurais adoré faire ?</t>
  </si>
  <si>
    <t>Professions idéales</t>
  </si>
  <si>
    <t>What imaginary or fictional job would you have loved to do?</t>
  </si>
  <si>
    <t>Dream Jobs</t>
  </si>
  <si>
    <t>Quelle est l'entreprise de rêve ou tu aimerais travailler ?</t>
  </si>
  <si>
    <t>What's your dream company to work at?</t>
  </si>
  <si>
    <t>Si tu pouvais prendre 3 mois sabbatiques demain, comment les passerais-tu ?</t>
  </si>
  <si>
    <t>Profondeur</t>
  </si>
  <si>
    <t>If you could take a 3-month sabbatical tomorrow, how would you spend it?</t>
  </si>
  <si>
    <t>Depth</t>
  </si>
  <si>
    <t>Quelle est la chose que tu fais chaque jour qui va vraiment dans le sens de tes valeurs ?</t>
  </si>
  <si>
    <t>What do you do every day that truly aligns with your values?</t>
  </si>
  <si>
    <t>Quelle a été ta pire excuse pour annuler un plan ?</t>
  </si>
  <si>
    <t>What's been your worst excuse for canceling plans?</t>
  </si>
  <si>
    <t>Quelle est la chose pour laquelle tu négocies le mieux ?</t>
  </si>
  <si>
    <t>Négociation</t>
  </si>
  <si>
    <t>What are you best at negotiating for?</t>
  </si>
  <si>
    <t>Negotiation</t>
  </si>
  <si>
    <t>Si tu pouvais instantanément maîtriser un sujet, lequel choisirais-tu ?</t>
  </si>
  <si>
    <t>Construction</t>
  </si>
  <si>
    <t>If you could instantly master any subject, which one would you choose?</t>
  </si>
  <si>
    <t>Building Skills</t>
  </si>
  <si>
    <t>Si tu avais un budget et personne pour te juger, quel projet lancerais-tu ?</t>
  </si>
  <si>
    <t>Projets</t>
  </si>
  <si>
    <t>If you had a budget and no one to judge you, what project would you launch?</t>
  </si>
  <si>
    <t>Projects</t>
  </si>
  <si>
    <t>Quel est le projet que tu portes en tête depuis longtemps mais que tu n'as pas encore lancé ?</t>
  </si>
  <si>
    <t>What project have you had in mind for a long time but haven't launched yet?</t>
  </si>
  <si>
    <t>Quelle est la chose que tu as construite, créée ou accomplie seul(e) dont tu es le plus fier(ère) ?</t>
  </si>
  <si>
    <t>What's something you built, created, or accomplished entirely on your own that you're most proud of?</t>
  </si>
  <si>
    <t>Quelle est la qualité que tu valorises le plus chez un ami ?</t>
  </si>
  <si>
    <t>Qualités</t>
  </si>
  <si>
    <t>What quality do you value most in a friend?</t>
  </si>
  <si>
    <t>Qualities</t>
  </si>
  <si>
    <t>Quelle est la première qualité qu'on te reconnait ?</t>
  </si>
  <si>
    <t>What's the first quality people recognize in you?</t>
  </si>
  <si>
    <t>Y a-t-il une qualité que tu pensais avoir, mais que tu as fini par remettre en question ?</t>
  </si>
  <si>
    <t>Qualités en Question</t>
  </si>
  <si>
    <t>Is there a quality you thought you had but eventually started to question?</t>
  </si>
  <si>
    <t>Qualities in Question</t>
  </si>
  <si>
    <t>Quelle qualité as-tu développée avec le temps et l’expérience ?</t>
  </si>
  <si>
    <t>What quality have you developed through time and experience?</t>
  </si>
  <si>
    <t>Quel est le défaut physique que tu ne supportes/supporterais pas chez un partenaire ?</t>
  </si>
  <si>
    <t>Qualités &amp; Défauts</t>
  </si>
  <si>
    <t>What physical flaw couldn't you tolerate in a partner?</t>
  </si>
  <si>
    <t>Qualities &amp; Flaws</t>
  </si>
  <si>
    <t>La qualité physique que tu recherche ou apprécie le plus chez un partenaire ?</t>
  </si>
  <si>
    <t>What physical quality do you look for or appreciate the most in a partner?</t>
  </si>
  <si>
    <t>Quel est le 1er défaut qui te vient à l'esprit vis-à-vis de ton voisin de droite ?</t>
  </si>
  <si>
    <t>Jugement</t>
  </si>
  <si>
    <t>What's the first flaw that comes to mind about the person on your right?</t>
  </si>
  <si>
    <t>First Impressions</t>
  </si>
  <si>
    <t>Quelle est la 1ère qualité qui te vient à l'esprit vis-à-vis de ton voisin de droite ?</t>
  </si>
  <si>
    <t>What's the first quality that comes to mind about the person on your right?</t>
  </si>
  <si>
    <t>Quelle est la dernière fois où tu as réussi à convaincre quelqu'un de changer d'avis ?</t>
  </si>
  <si>
    <t>What's the last time you successfully convinced someone to change their mind?</t>
  </si>
  <si>
    <t>Quelle citation ou phrase te motive le plus ?</t>
  </si>
  <si>
    <t>Philosophie</t>
  </si>
  <si>
    <t>What quote or phrase motivates you the most?</t>
  </si>
  <si>
    <t>Philosophy</t>
  </si>
  <si>
    <t>Quel est le temps idéal d'un rapport selon toi ?</t>
  </si>
  <si>
    <t>Rapport</t>
  </si>
  <si>
    <t>What's the ideal duration for sex, in your opinion?</t>
  </si>
  <si>
    <t>Intimacy</t>
  </si>
  <si>
    <t>Quel a été ton rapport le plus long ?</t>
  </si>
  <si>
    <t>What's your longest time having sex?</t>
  </si>
  <si>
    <t>Quelle philosophie te correspond le plus ?</t>
  </si>
  <si>
    <t>What philosophy resonates with you the most?</t>
  </si>
  <si>
    <t>Quelle pensée chelou as-tu eu aujourd'hui ?</t>
  </si>
  <si>
    <t>What's a weird thought you had today?</t>
  </si>
  <si>
    <t>A reformuler</t>
  </si>
  <si>
    <t>Quelle est la recette que tu as ratée spectaculairement au moins une fois ?</t>
  </si>
  <si>
    <t>Recettes de cuisine</t>
  </si>
  <si>
    <t>What recipe have you spectacularly failed at least once?</t>
  </si>
  <si>
    <t>Cooking Recipes</t>
  </si>
  <si>
    <t>Quelle est ta recette signature ?</t>
  </si>
  <si>
    <t>What's your signature recipe?</t>
  </si>
  <si>
    <t>Quelle est la relation que tu as réussi à récupérer après une embrouille ?</t>
  </si>
  <si>
    <t>Réconciliation</t>
  </si>
  <si>
    <t>What relationship have you managed to recover after a conflict?</t>
  </si>
  <si>
    <t>Reconciliation</t>
  </si>
  <si>
    <t>Y a-t-il une personne avec qui tu aimerais te réconcilier mais dont tu n'as pas encore fait le premier pas ?</t>
  </si>
  <si>
    <t>Is there someone you'd like to reconcile with but haven't made the first move yet?</t>
  </si>
  <si>
    <t>Si tu pouvais avoir la réponse à une seule question sur l'univers, ce serait laquelle ?</t>
  </si>
  <si>
    <t>Questions Existentielles</t>
  </si>
  <si>
    <t>If you could have the answer to one question about the universe, what would it be?</t>
  </si>
  <si>
    <t>Existential Questions</t>
  </si>
  <si>
    <t>Si tu devais réduire le sens de ta vie à une seule phrase, ce serait quoi ?</t>
  </si>
  <si>
    <t>If you had to reduce the meaning of your life to one sentence, what would it be?</t>
  </si>
  <si>
    <t>Est-ce que tu vis plutôt dans le passé, le présent ou le futur ?</t>
  </si>
  <si>
    <t>Rapport au temps</t>
  </si>
  <si>
    <t>Do you live more in the past, the present, or the future?</t>
  </si>
  <si>
    <t>Relationship with Time</t>
  </si>
  <si>
    <t>Quelle est la période de ta vie où le temps passait le plus vite, et pourquoi ?</t>
  </si>
  <si>
    <t>What period of your life did time pass the fastest, and why?</t>
  </si>
  <si>
    <t>As-tu un endroit secret ou spécial où tu aimes aller pour réfléchir ?</t>
  </si>
  <si>
    <t>Réflexions</t>
  </si>
  <si>
    <t>Do you have a secret or special place where you like to go to think?</t>
  </si>
  <si>
    <t>Reflections</t>
  </si>
  <si>
    <t>Quelle relation passée t'a le plus appris sur ce que tu mérites vraiment ?</t>
  </si>
  <si>
    <t>What past relationship taught you the most about what you truly deserve?</t>
  </si>
  <si>
    <t>Quel est le truc que tu fais uniquement parce que tu en as envie, sans te justifier ?</t>
  </si>
  <si>
    <t>Regard des autres</t>
  </si>
  <si>
    <t>What do you do purely because you want to, without needing to justify it to anyone?</t>
  </si>
  <si>
    <t>Others' Opinions</t>
  </si>
  <si>
    <t>Quelle est la chose que tu as faite par peur du regard des autres, et que tu regrettes ?</t>
  </si>
  <si>
    <t>What have you done out of fear of judgment that you now regret?</t>
  </si>
  <si>
    <t>Quel est ton dernier post sur les réseaux ?</t>
  </si>
  <si>
    <t>Réseaux</t>
  </si>
  <si>
    <t>What was your last post on social media?</t>
  </si>
  <si>
    <t>Social Networks</t>
  </si>
  <si>
    <t>Quelle est la personne que tu suis sur les réseaux et que tu n'assumes pas vraiment ?</t>
  </si>
  <si>
    <t>Who do you follow on social media that you don't fully own up to?</t>
  </si>
  <si>
    <t>Quel est ton réseau social préféré ?</t>
  </si>
  <si>
    <t>Réseaux sociaux</t>
  </si>
  <si>
    <t>What's your favorite social network?</t>
  </si>
  <si>
    <t>Social Media</t>
  </si>
  <si>
    <t>Quelle est ta chaîne Youtube préférée ?</t>
  </si>
  <si>
    <t>What's your favorite YouTube channel?</t>
  </si>
  <si>
    <t>La personne qui vous ressemble le plus physiquement dans la famille ?</t>
  </si>
  <si>
    <t>Ressemblances</t>
  </si>
  <si>
    <t>Who in the family looks the most like you physically?</t>
  </si>
  <si>
    <t>Family Resemblances</t>
  </si>
  <si>
    <t>Le personne qui vous ressemble le plus en terme de caractère dans la famille ?</t>
  </si>
  <si>
    <t>Who in the family is most similar to you in personality?</t>
  </si>
  <si>
    <t>Quel est ton restaurant préféré ?</t>
  </si>
  <si>
    <t>Restaurants</t>
  </si>
  <si>
    <t>What's your favorite restaurant?</t>
  </si>
  <si>
    <t>Qu'est-ce que tu as envie de manger, là, à l'instant T ?</t>
  </si>
  <si>
    <t>What do you feel like eating right now, in this exact moment?</t>
  </si>
  <si>
    <t>Quel est le plus gros défi que tu as relevé ?</t>
  </si>
  <si>
    <t>Réussites</t>
  </si>
  <si>
    <t>What's the biggest challenge you've taken on?</t>
  </si>
  <si>
    <t>Quelle est ta plus grande réussite de cette année ?</t>
  </si>
  <si>
    <t>What's your greatest achievement this year?</t>
  </si>
  <si>
    <t>Si tu devais emprunter la garde-robe de quelqu'un du groupe pour une semaine, qui choisirais-tu ?</t>
  </si>
  <si>
    <t>Révélations du Groupe</t>
  </si>
  <si>
    <t>If you could borrow someone from the group's wardrobe for a week, whose would you choose?</t>
  </si>
  <si>
    <t>Group Revelations</t>
  </si>
  <si>
    <t>Qui du groupe te surprendrait le plus si tu apprenais qu'il/elle cache un talent artistique ?</t>
  </si>
  <si>
    <t>Who in the group would surprise you most if you learned they have a hidden artistic talent?</t>
  </si>
  <si>
    <t>As-tu déjà eu un rêve tellement réel que tu as mis du temps à réaliser que c'en était un ?</t>
  </si>
  <si>
    <t>Réel</t>
  </si>
  <si>
    <t>Have you ever had a dream so real you took a while to realize it was a dream?</t>
  </si>
  <si>
    <t>Reality</t>
  </si>
  <si>
    <t>Dans quel moment es-tu le plus ancré dans la réalité, tu VIS quoi</t>
  </si>
  <si>
    <t>In what moment do you feel most present and truly alive?</t>
  </si>
  <si>
    <t>a CHIER</t>
  </si>
  <si>
    <t>Quel rêve récurrent as-tu, et que penses-tu qu'il signifie ?</t>
  </si>
  <si>
    <t>Rêves</t>
  </si>
  <si>
    <t>What recurring dream do you have, and what do you think it means?</t>
  </si>
  <si>
    <t>Dreams</t>
  </si>
  <si>
    <t>Si tu pouvais programmer un rêve ce soir, quel serait-il ?</t>
  </si>
  <si>
    <t>If you could program a dream for tonight, what would it be?</t>
  </si>
  <si>
    <t>Le métier que tu rêvais de faire étant enfant ?</t>
  </si>
  <si>
    <t>Rêves de gosse</t>
  </si>
  <si>
    <t>What job did you dream of having as a child?</t>
  </si>
  <si>
    <t>Childhood Dreams</t>
  </si>
  <si>
    <t>Quel était le premier but de ta vie quand tu étais enfant ?</t>
  </si>
  <si>
    <t>What was your number one life goal when you were a kid?</t>
  </si>
  <si>
    <t>Quel est le pays que tu rêves de visiter ?</t>
  </si>
  <si>
    <t>Rêves de voyages</t>
  </si>
  <si>
    <t>What country do you dream of visiting?</t>
  </si>
  <si>
    <t>Dream Trips</t>
  </si>
  <si>
    <t>Quel est le lieu le plus impressionnant que tu aies déjà visité ?</t>
  </si>
  <si>
    <t>What's the most impressive place you've ever visited?</t>
  </si>
  <si>
    <t>Qu'est-ce que tu voudrais avoir actuellement, et que tu n'as pas ?</t>
  </si>
  <si>
    <t>Risques</t>
  </si>
  <si>
    <t>What do you wish you had right now that you don't?</t>
  </si>
  <si>
    <t>Risks</t>
  </si>
  <si>
    <t>Quel est le plus gros risque que tu aies pris, en te disant que la chance serait de ton côté ?</t>
  </si>
  <si>
    <t>What's the biggest risk you've ever taken, telling yourself luck was on your side?</t>
  </si>
  <si>
    <t>Quel est ton rituel idéal après une longue journée ?</t>
  </si>
  <si>
    <t>Rituels du Soir</t>
  </si>
  <si>
    <t>What's your ideal ritual after a long day?</t>
  </si>
  <si>
    <t>Evening Rituals</t>
  </si>
  <si>
    <t>Quel est ton rituel avant d'aller dormir ?</t>
  </si>
  <si>
    <t>What's your ritual before going to sleep?</t>
  </si>
  <si>
    <t>Si tu devais créer une playlist pour un road trip, quelle serait la première chanson ?</t>
  </si>
  <si>
    <t>Rituels de Voyage</t>
  </si>
  <si>
    <t>If you had to create a playlist for a road trip, what would the first song be?</t>
  </si>
  <si>
    <t>Travel Rituals</t>
  </si>
  <si>
    <t>Quelle est la chose que tu fais systématiquement dans chaque nouveau pays que tu visites ?</t>
  </si>
  <si>
    <t>What do you systematically do in every new country you visit?</t>
  </si>
  <si>
    <t>Quelle habitude de santé tu sais que tu devrais adopter mais que tu repousses indéfiniment ?</t>
  </si>
  <si>
    <t>Santé</t>
  </si>
  <si>
    <t>What health habit do you know you should adopt but keep putting off indefinitely?</t>
  </si>
  <si>
    <t>Health</t>
  </si>
  <si>
    <t>Quelle est ta tolérance à la douleur ?</t>
  </si>
  <si>
    <t>Pépins</t>
  </si>
  <si>
    <t>How high is your pain tolerance?</t>
  </si>
  <si>
    <t>Health Mishaps</t>
  </si>
  <si>
    <t>Quelle est la chose la plus ridicule pour laquelle tu t'es retrouvé(e) aux urgences ou chez le médecin ?</t>
  </si>
  <si>
    <t>What's the most ridiculous reason you've ever ended up in the ER or at the doctor's?</t>
  </si>
  <si>
    <t>De quelle façon tu te te parles à toi même quand tu rates quelque chose ?</t>
  </si>
  <si>
    <t>How do you talk to yourself when you fail at something?</t>
  </si>
  <si>
    <t>Quelle est la chose que tu fais pour prendre soin de ta santé mentale ?</t>
  </si>
  <si>
    <t>Santé mentale</t>
  </si>
  <si>
    <t>What do you do to take care of your mental health?</t>
  </si>
  <si>
    <t>Mental Health</t>
  </si>
  <si>
    <t>Décris ton état de santé mentale en une phrase</t>
  </si>
  <si>
    <t>Describe your mental health in one sentence.</t>
  </si>
  <si>
    <t>Quelle est ta scène de film préférée ?</t>
  </si>
  <si>
    <t>Scènes de films</t>
  </si>
  <si>
    <t>What's your favorite movie scene?</t>
  </si>
  <si>
    <t>Movie Scenes</t>
  </si>
  <si>
    <t>Si tu pouvais vivre dans un film, lequel choisirais-tu ?</t>
  </si>
  <si>
    <t>If you could live in any film, which one would you choose?</t>
  </si>
  <si>
    <t>À qui du groupe ferais-tu le plus confiance pour garder un secret absolument inavouable ?</t>
  </si>
  <si>
    <t>Secret du Groupe</t>
  </si>
  <si>
    <t>Who in the group would you trust the most to keep an absolutely shameful secret?</t>
  </si>
  <si>
    <t>Group Secrets</t>
  </si>
  <si>
    <t>Quelle est la personne au sein du groupe, qui te connaît le mieux, le vrai toi ?</t>
  </si>
  <si>
    <t>Who in the group knows the real you the best?</t>
  </si>
  <si>
    <t>Quelle est ta série préférée de tous les temps ?</t>
  </si>
  <si>
    <t>Série favorite</t>
  </si>
  <si>
    <t>What's your all-time favorite TV series?</t>
  </si>
  <si>
    <t>Favorite Series</t>
  </si>
  <si>
    <t>Quel est ton record d'épisodes vus à la suite, en binge-watching ?</t>
  </si>
  <si>
    <t>Netflix &amp; Chill</t>
  </si>
  <si>
    <t>What's your binge-watching record for episodes watched in a row?</t>
  </si>
  <si>
    <t>Binge-Watching</t>
  </si>
  <si>
    <t>Quelle est la série que tu n'as jamais fini ?</t>
  </si>
  <si>
    <t>What's a series you never finished?</t>
  </si>
  <si>
    <t>Quelle série tu as le plus recommandé au cours de ta vie, aux autres ?</t>
  </si>
  <si>
    <t>What series have you recommended the most to others over the years?</t>
  </si>
  <si>
    <t>Quelle personne détestes-tu secrètement, et que peu de monde est au courant ?</t>
  </si>
  <si>
    <t>Sérieux ?</t>
  </si>
  <si>
    <t>Who do you secretly dislike, and almost no one knows?</t>
  </si>
  <si>
    <t>Seriously?</t>
  </si>
  <si>
    <t>Quelle est la chose la plus honteuse dans ton téléphone ?</t>
  </si>
  <si>
    <t>What's the most embarrassing thing on your phone?</t>
  </si>
  <si>
    <t>Comment tu gères les silences gênants ?</t>
  </si>
  <si>
    <t>Silences &amp; Émotions</t>
  </si>
  <si>
    <t>How do you handle awkward silences?</t>
  </si>
  <si>
    <t>Silence &amp; Emotions</t>
  </si>
  <si>
    <t>Quelle émotion tu as le plus de mal à exprimer en présence des autres ?</t>
  </si>
  <si>
    <t>What emotion do you have the hardest time showing in front of others?</t>
  </si>
  <si>
    <t>Quelle est la situation la plus embarrassante que tu aies vécue dans un contexte romantique ou intime ?</t>
  </si>
  <si>
    <t>Situations délicates</t>
  </si>
  <si>
    <t>What's the most embarrassing situation you've ever experienced in a romantic or intimate context?</t>
  </si>
  <si>
    <t>Awkward Situations</t>
  </si>
  <si>
    <t>A quel moment étais-tu excitée), alors que tu ne devais surtout pas l'être ?</t>
  </si>
  <si>
    <t>When were you aroused at a moment you absolutely should not have been?</t>
  </si>
  <si>
    <t>Quelle est la chose que tu fais systématiquement quand tu veux que quelqu'un se sente à l'aise ?</t>
  </si>
  <si>
    <t>Social</t>
  </si>
  <si>
    <t>What do you systematically do when you want someone to feel comfortable?</t>
  </si>
  <si>
    <t>Social Skills</t>
  </si>
  <si>
    <t>Quelle excuse utilises-tu le plus souvent pour décliner une invitation et t'en sentir un peu moins coupable ?</t>
  </si>
  <si>
    <t>What excuse do you use most often to turn down an invitation and feel a little less guilty?</t>
  </si>
  <si>
    <t>Quel est ton plus grand regret dans la vie ?</t>
  </si>
  <si>
    <t>Regrets</t>
  </si>
  <si>
    <t>What's your biggest regret in life?</t>
  </si>
  <si>
    <t>Si tu pouvais effacer un souvenir de ta mémoire, lequel ce serait ?</t>
  </si>
  <si>
    <t>If you could erase one memory from your mind, which one would it be?</t>
  </si>
  <si>
    <t>Si tu pouvais inviter 1 célébrité à une soirée, qui choisirais-tu ?</t>
  </si>
  <si>
    <t>Soirée</t>
  </si>
  <si>
    <t>If you could invite one celebrity to a party, who would you choose?</t>
  </si>
  <si>
    <t>Parties &amp; Nights Out</t>
  </si>
  <si>
    <t>Quel est l’élément indispensable pour une soirée réussie ?</t>
  </si>
  <si>
    <t>What's the one essential element of a great party?</t>
  </si>
  <si>
    <t>Quelle est la fois ou j'ai surpris tout le monde ?</t>
  </si>
  <si>
    <t>Surprises</t>
  </si>
  <si>
    <t>When was the time you surprised everyone?</t>
  </si>
  <si>
    <t>Quelle est la plus belle des surprises que tu as eu ?</t>
  </si>
  <si>
    <t>What's the most beautiful surprise you've ever received?</t>
  </si>
  <si>
    <t>Quel est le meilleur souvenir que tu as avec ce groupe ?</t>
  </si>
  <si>
    <t>Souvenirs de groupe</t>
  </si>
  <si>
    <t>What's your best memory with this group?</t>
  </si>
  <si>
    <t>Group Memories</t>
  </si>
  <si>
    <t>Quel moment de groupe, ou tu n'étais pas là justement, tu aurais aimé être là pour le vivre ?</t>
  </si>
  <si>
    <t>What group moment you missed do you wish you'd been there for?</t>
  </si>
  <si>
    <t>Quelle est la meilleure rencontre que tu aies faite en voyage ?</t>
  </si>
  <si>
    <t>Souvenirs de voyage</t>
  </si>
  <si>
    <t>What's the best encounter you've had while traveling?</t>
  </si>
  <si>
    <t>Travel Memories</t>
  </si>
  <si>
    <t>Quel est le moyen de transport le plus insolite que tu aies pris pour voyager ?</t>
  </si>
  <si>
    <t>What's the most unusual mode of transport you've ever taken?</t>
  </si>
  <si>
    <t>Quelle est la limite que tu as mis du temps à apprendre à poser dans tes relations ?</t>
  </si>
  <si>
    <t>Relations</t>
  </si>
  <si>
    <t>What boundary took you the longest to learn to set in your relationships?</t>
  </si>
  <si>
    <t>Relationships</t>
  </si>
  <si>
    <t>Comment tu détectes qu'une relation (amicale ou amoureuse) n'est plus bonne pour toi ?</t>
  </si>
  <si>
    <t>How do you detect that a relationship (friendship or romantic) is no longer good for you?</t>
  </si>
  <si>
    <t>Si tu devais t'initier (ou changer) de religion, laquelle choisirais-tu ?</t>
  </si>
  <si>
    <t>Religion</t>
  </si>
  <si>
    <t>If you had to choose or change your religion, which would you choose?</t>
  </si>
  <si>
    <t>As-tu un rituel ou une pratique spirituelle, même discret(e), que tu t'accordes ?</t>
  </si>
  <si>
    <t>Do you have a spiritual ritual or practice, even a discreet one, that you keep?</t>
  </si>
  <si>
    <t>Quelle blessure sportive ou physique t'a laissé le plus de souvenirs ?</t>
  </si>
  <si>
    <t>Sport pratique</t>
  </si>
  <si>
    <t>What sports injury or physical mishap left you with the most memories?</t>
  </si>
  <si>
    <t>Sports</t>
  </si>
  <si>
    <t>Si tu devais t'inscrire à une compétition sportive demain, laquelle choisirais-tu ?</t>
  </si>
  <si>
    <t>If you had to sign up for a sports competition tomorrow, which one would you choose?</t>
  </si>
  <si>
    <t>Quel comportement adaptes-tu face à la pression ?</t>
  </si>
  <si>
    <t>Stress</t>
  </si>
  <si>
    <t>How do you adapt your behavior under pressure?</t>
  </si>
  <si>
    <t>Quel est le moment ou l'action anodine du quotidien qui te stresse ?</t>
  </si>
  <si>
    <t>What ordinary daily action or situation actually stresses you out?</t>
  </si>
  <si>
    <t>Si tu devais incarner un superhéros, quel serait son nom ?</t>
  </si>
  <si>
    <t>Superpouvoirs</t>
  </si>
  <si>
    <t>If you had to become a superhero, what would their name be?</t>
  </si>
  <si>
    <t>Superpowers</t>
  </si>
  <si>
    <t>Si tu pouvais avoir un super-pouvoir, lequel choisirais-tu ?</t>
  </si>
  <si>
    <t>If you could have one superpower, which one would you choose?</t>
  </si>
  <si>
    <t>Si vous deviez choisir un surnom pour vous-même, lequel choisirez-vous ?</t>
  </si>
  <si>
    <t>Surnoms</t>
  </si>
  <si>
    <t>If you had to choose a nickname for yourself, what would it be?</t>
  </si>
  <si>
    <t>Nicknames</t>
  </si>
  <si>
    <t>Quel est le surnom le plus atypique qu'on t'a déjà donné ?</t>
  </si>
  <si>
    <t>What's the most unusual nickname you've ever been given?</t>
  </si>
  <si>
    <t>Si tu devais représenter ta personnalité par un seul objet, lequel choisirais-tu ?</t>
  </si>
  <si>
    <t>Symbole</t>
  </si>
  <si>
    <t>If you had to represent your personality with a single object, which one would you choose?</t>
  </si>
  <si>
    <t>Symbols</t>
  </si>
  <si>
    <t>Quel est ton objet porte-bonheur ?</t>
  </si>
  <si>
    <t>What's your lucky charm?</t>
  </si>
  <si>
    <t>Quelle est la rencontre la plus imprévue que tu aies faite ?</t>
  </si>
  <si>
    <t>Rencontres imprévues</t>
  </si>
  <si>
    <t>What's the most unexpected encounter you've ever had?</t>
  </si>
  <si>
    <t>Unexpected Encounters</t>
  </si>
  <si>
    <t>Quelle est la conversation la plus marquante que tu aies eue avec un inconnu ?</t>
  </si>
  <si>
    <t>What's the most memorable conversation you've ever had with a stranger?</t>
  </si>
  <si>
    <t>Si ta vie était un film, quelle chanson en serait le générique ?</t>
  </si>
  <si>
    <t xml:space="preserve">Ta vie </t>
  </si>
  <si>
    <t>If your life were a film, what song would be the soundtrack?</t>
  </si>
  <si>
    <t>Your Life</t>
  </si>
  <si>
    <t>Quelle est la chanson qui décrit le mieux ta personnalité ?</t>
  </si>
  <si>
    <t>What song best describes your personality?</t>
  </si>
  <si>
    <t>Quel est le sujet tabou dont tu préfères ne pas aborder avec le groupe ?</t>
  </si>
  <si>
    <t>Tabous</t>
  </si>
  <si>
    <t>What taboo topic do you prefer not to bring up with the group?</t>
  </si>
  <si>
    <t>Taboos</t>
  </si>
  <si>
    <t>Dis une phrase qui peut faire vriller ton voisin de gauche</t>
  </si>
  <si>
    <t>Say one sentence that would immediately get under the person on your left's skin.</t>
  </si>
  <si>
    <t>Si tu pouvais éliminer une corvée pour toujours, laquelle choisirais-tu ?</t>
  </si>
  <si>
    <t>Par défaut</t>
  </si>
  <si>
    <t>If you could eliminate one chore forever, which one would you choose?</t>
  </si>
  <si>
    <t>Default Mode</t>
  </si>
  <si>
    <t>Qui du groupe serait le meilleur mentor pour les autres ?</t>
  </si>
  <si>
    <t>Talents du Groupe</t>
  </si>
  <si>
    <t>Who in the group would make the best mentor for the others?</t>
  </si>
  <si>
    <t>Group Talents</t>
  </si>
  <si>
    <t>Qui du groupe pourrait t'apprendre quelque chose d'utile ? C'est le moment de demander de l'aide</t>
  </si>
  <si>
    <t>Who in the group could teach you something useful? Now's the time to ask.</t>
  </si>
  <si>
    <t>Si tu devais te faire tatouer une seule chose, ce serait quoi et où ?</t>
  </si>
  <si>
    <t>Tatouage et Accessoires</t>
  </si>
  <si>
    <t>If you had to get a tattoo of one thing, what would it be and where?</t>
  </si>
  <si>
    <t>Tattoos &amp; Accessories</t>
  </si>
  <si>
    <t>Pour quelle somme te fais-tu un tatouage obscène sur le bras ?</t>
  </si>
  <si>
    <t>What amount of money would it take for you to get an obscene tattoo on your arm?</t>
  </si>
  <si>
    <t>Pas du tout inspiré wlh</t>
  </si>
  <si>
    <t>Quel est l’appareil high-tech dont tu ne pourrais plus te passer ?</t>
  </si>
  <si>
    <t>Tech Indispensable</t>
  </si>
  <si>
    <t>What tech device could you no longer live without?</t>
  </si>
  <si>
    <t>Essential Tech</t>
  </si>
  <si>
    <t>Quelle est la technologie que tu aimerais voir un jour ?</t>
  </si>
  <si>
    <t>What technology would you love to see invented?</t>
  </si>
  <si>
    <t>Quel serait le titre de ton émission de téléréalité si ta vie était filmée 24h/24 ?</t>
  </si>
  <si>
    <t>Téléréalité</t>
  </si>
  <si>
    <t>What would the title of your reality show be if your life were filmed 24/7?</t>
  </si>
  <si>
    <t>Reality TV</t>
  </si>
  <si>
    <t>Si tu devais être interviewé(e) sur un plateau pour une bêtise que tu as faite, laquelle ce serait ?</t>
  </si>
  <si>
    <t>If you were interviewed on a TV show about something dumb you did, what would it be?</t>
  </si>
  <si>
    <t>Quel est le moment dans ta vie où tu as le plus ressenti quelque chose de 'mystérieux' ou inexplicable ?</t>
  </si>
  <si>
    <t>Spiritualité</t>
  </si>
  <si>
    <t>What moment in your life did you feel something truly 'mysterious' or inexplicable?</t>
  </si>
  <si>
    <t>Spirituality</t>
  </si>
  <si>
    <t>Quel est le phénomène le plus étrange auquel tu as assisté ?</t>
  </si>
  <si>
    <t>What's the strangest phenomenon you've ever witnessed?</t>
  </si>
  <si>
    <t>Avec qui du groupe est-tu le plus susceptible de t'embrouiller ?</t>
  </si>
  <si>
    <t>Tensions</t>
  </si>
  <si>
    <t>Who in the group are you most likely to get into an argument with?</t>
  </si>
  <si>
    <t>Group Tensions</t>
  </si>
  <si>
    <t>Quel dernier moment ou évènement du groupe n'as-tu pas apprécié, et que tu n'as toujours pas digéré ?</t>
  </si>
  <si>
    <t>What recent group moment or event didn't sit right with you and you still haven't let go?</t>
  </si>
  <si>
    <t>Si tu pouvais transformer une de tes passions en métier, laquelle serait-ce ?</t>
  </si>
  <si>
    <t>Tes Passions</t>
  </si>
  <si>
    <t>If you could turn one of your passions into a career, which one would it be?</t>
  </si>
  <si>
    <t>Your Passions</t>
  </si>
  <si>
    <t>Quel est ton passe-temps favori ?</t>
  </si>
  <si>
    <t>What's your favorite hobby?</t>
  </si>
  <si>
    <t>Quel trait de personnalité te fait craquer direct ?</t>
  </si>
  <si>
    <t>Séduction</t>
  </si>
  <si>
    <t>What personality trait makes you fall for someone immediately?</t>
  </si>
  <si>
    <t>Seduction</t>
  </si>
  <si>
    <t>Comment devrait-on s'y prendre pour te montrer que tu nous plais ?</t>
  </si>
  <si>
    <t>How should someone go about showing you they're into you?</t>
  </si>
  <si>
    <t>Quelle note te mettrais-tu sur 10 en terme de beauté ?</t>
  </si>
  <si>
    <t>Ton Look &amp; Beauté</t>
  </si>
  <si>
    <t>What would you rate yourself out of 10 in terms of looks?</t>
  </si>
  <si>
    <t>Your Look &amp; Beauty</t>
  </si>
  <si>
    <t>Sur quel style de vêtement que tu portes, ou apparence physique, t'a-t-on le + complimenté ?</t>
  </si>
  <si>
    <t>What outfit or physical feature have you been complimented on the most?</t>
  </si>
  <si>
    <t>Quelle tradition familiale tu transmettras absolument à tes enfants ?</t>
  </si>
  <si>
    <t>Traditions Familiales</t>
  </si>
  <si>
    <t>What family tradition will you absolutely pass on to your children?</t>
  </si>
  <si>
    <t>Family Traditions</t>
  </si>
  <si>
    <t>De quelle tradition de famille, maintenant un peu désuète, es-tu nostalgique ?</t>
  </si>
  <si>
    <t>What outdated family tradition are you nostalgic about?</t>
  </si>
  <si>
    <t>Si tu pouvais choisir de tout savoir sur ton futur ou ne rien savoir du tout, que préfères-tu ?</t>
  </si>
  <si>
    <t>Temps et toi</t>
  </si>
  <si>
    <t>If you could choose to know everything about your future or nothing at all, which do you prefer?</t>
  </si>
  <si>
    <t>You &amp; Time</t>
  </si>
  <si>
    <t>Si tu étais un jour de la semaine, lequel serais-tu et pourquoi ?</t>
  </si>
  <si>
    <t>If you were a day of the week, which one would you be and why?</t>
  </si>
  <si>
    <t>Quel est le moyen de transport que tu as le plus emprunté dans ta vie?</t>
  </si>
  <si>
    <t>What mode of transport have you used the most throughout your life?</t>
  </si>
  <si>
    <t>Si tu pouvais posséder une voiture sans limite de budget, laquelles choisirais-tu ?</t>
  </si>
  <si>
    <t>Transports</t>
  </si>
  <si>
    <t>If you could own any car with no budget limit, which would you choose?</t>
  </si>
  <si>
    <t>Transport</t>
  </si>
  <si>
    <t>Quel est le transport que tu aimerais tester au moins une fois dans ta vie ?</t>
  </si>
  <si>
    <t>What mode of transport would you love to try at least once in your life?</t>
  </si>
  <si>
    <t>Quelle est ta date de naissance (Date &amp; mois) ?</t>
  </si>
  <si>
    <t>Trivia</t>
  </si>
  <si>
    <t>What's your date of birth (day and month)?</t>
  </si>
  <si>
    <t>Quelle sont ta couleur et ton nombre fétiches ? Exemple : Bleu/7</t>
  </si>
  <si>
    <t>What are your favorite color and number? Example: Blue/7</t>
  </si>
  <si>
    <t>Quelle est la chose la plus insolite que tu aies trouvée (par hasard) ?</t>
  </si>
  <si>
    <t>Par hasard</t>
  </si>
  <si>
    <t>What's the most unusual thing you've ever found by chance?</t>
  </si>
  <si>
    <t>By Chance</t>
  </si>
  <si>
    <t>Qu'est-ce qui t'es arrivé de plus improbable ?</t>
  </si>
  <si>
    <t>What's the most improbable thing that has ever happened to you?</t>
  </si>
  <si>
    <t>Quelle est l'émission TV que tu préfères ?</t>
  </si>
  <si>
    <t>TV</t>
  </si>
  <si>
    <t>What's your favorite TV show?</t>
  </si>
  <si>
    <t>Combien de temps passes-tu en moyenne par semaine, devant la télé ?</t>
  </si>
  <si>
    <t>How many hours a week do you spend in front of the TV on average?</t>
  </si>
  <si>
    <t>Quel type de film refuses-tu catégoriquement de regarder ?</t>
  </si>
  <si>
    <t>Type de films</t>
  </si>
  <si>
    <t>What type of film do you categorically refuse to watch?</t>
  </si>
  <si>
    <t>Film Genres</t>
  </si>
  <si>
    <t>Si ta vie était un film, de quel type serait-elle ? (Horreur, Comédie, Drame, Aventure, Thriller etc.)</t>
  </si>
  <si>
    <t>If your life were a film, what genre would it be? (Horror, Comedy, Drama, Adventure, Thriller...)</t>
  </si>
  <si>
    <t>Quel est l’objet indispensable que tu emportes toujours en vacances  ?</t>
  </si>
  <si>
    <t>Vacances</t>
  </si>
  <si>
    <t>What's the one essential item you always take on vacation?</t>
  </si>
  <si>
    <t>Vacations</t>
  </si>
  <si>
    <t>Quel est le type de vacances que tu préfères ?</t>
  </si>
  <si>
    <t>What type of vacation do you prefer?</t>
  </si>
  <si>
    <t>Quelle rencontre a le plus changé ta trajectoire de vie ?</t>
  </si>
  <si>
    <t>Trajectoire de vie</t>
  </si>
  <si>
    <t>What encounter has most changed your life's trajectory?</t>
  </si>
  <si>
    <t>Life Trajectory</t>
  </si>
  <si>
    <t>Ou te trouveras-tu dans 10 ans ? En 3 mots</t>
  </si>
  <si>
    <t>Where will you be in 10 years? In 3 words.</t>
  </si>
  <si>
    <t>Quelle est ta petite victoire du quotidien qui te rend irrationnellement fier(e) ?</t>
  </si>
  <si>
    <t>Victoires</t>
  </si>
  <si>
    <t>What small daily win makes you irrationally proud?</t>
  </si>
  <si>
    <t>Victories</t>
  </si>
  <si>
    <t>Quelle habitude as-tu réussi à mettre en place récemment après plusieurs tentatives ?</t>
  </si>
  <si>
    <t>What habit have you recently managed to build after multiple failed attempts?</t>
  </si>
  <si>
    <t>Dans combien de villes différentes as-tu habitées dans ta vie ?</t>
  </si>
  <si>
    <t>Villes</t>
  </si>
  <si>
    <t>How many different cities have you lived in?</t>
  </si>
  <si>
    <t>Cities</t>
  </si>
  <si>
    <t>Quelle ville a le plus marqué ta trajectoire de vie ?</t>
  </si>
  <si>
    <t>What city has had the biggest impact on your life?</t>
  </si>
  <si>
    <t>Quel est le scénario du futur que tu espères le plus ?</t>
  </si>
  <si>
    <t>Vision à Long Terme</t>
  </si>
  <si>
    <t>What future scenario are you most hoping for?</t>
  </si>
  <si>
    <t>Long-Term Vision</t>
  </si>
  <si>
    <t>Dans 30 ans, comment tu aimerais que les gens qui te connaissent aujourd'hui te décrivent ?</t>
  </si>
  <si>
    <t>In 30 years, how would you like people who know you today to describe you?</t>
  </si>
  <si>
    <t>Si tu pouvais voyager dans le temps, quelle époque choisirais-tu de visiter et pourquoi ?</t>
  </si>
  <si>
    <t>Voyages insolites</t>
  </si>
  <si>
    <t>If you could travel through time, what era would you visit and why?</t>
  </si>
  <si>
    <t>Unusual Travels</t>
  </si>
  <si>
    <t>Quelle était l'expérience de voyage la plus bizarre que tu aies faite ?</t>
  </si>
  <si>
    <t>What's the most bizarre travel experience you've ever had?</t>
  </si>
  <si>
    <t>Quelle est la vérité que tu gardes pour toi parce que tu sais qu'elle ferait mal à entendre ?</t>
  </si>
  <si>
    <t>Vérités</t>
  </si>
  <si>
    <t>What truth do you keep to yourself because you know it would hurt to hear?</t>
  </si>
  <si>
    <t>Hard Truths</t>
  </si>
  <si>
    <t>Quelle vérité sur toi-même tu as du mal à t'avouer ?</t>
  </si>
  <si>
    <t>What truth about yourself do you struggle to admit to yourself?</t>
  </si>
  <si>
    <t>Combien de vraies amitiés de plus de 10 ans as-tu ?</t>
  </si>
  <si>
    <t>Amitié Durable</t>
  </si>
  <si>
    <t>How many real friendships of more than 10 years do you have?</t>
  </si>
  <si>
    <t>Lasting Friendships</t>
  </si>
  <si>
    <t>Comment sais-tu qu'une amitié est faite pour durer ?</t>
  </si>
  <si>
    <t>How do you know a friendship is built to last?</t>
  </si>
  <si>
    <t>As-tu une habitude quotidienne qui contribue à ton développement personnel ?</t>
  </si>
  <si>
    <t>Habitudes</t>
  </si>
  <si>
    <t>Do you have a daily habit that contributes to your personal growth?</t>
  </si>
  <si>
    <t>Habits</t>
  </si>
  <si>
    <t>Quelle est l'habitude ou le tic que tout le monde remarque chez toi ?</t>
  </si>
  <si>
    <t>What habit or quirk of yours does everyone notice?</t>
  </si>
  <si>
    <t>Si tu avais une heure de temps libre plus chaque jour, qu'en ferais-tu honnêtement ?</t>
  </si>
  <si>
    <t>Planning</t>
  </si>
  <si>
    <t>If you had one extra hour free every day, what would you honestly do with it?</t>
  </si>
  <si>
    <t>En général, de combien de blocs est composée ta journée sur l'agenda ?</t>
  </si>
  <si>
    <t>How many blocks is your typical day broken up into on your calendar?</t>
  </si>
  <si>
    <t>Quel est le film que tu détestes, mais que tout le monde adore ?</t>
  </si>
  <si>
    <t>Les films</t>
  </si>
  <si>
    <t>What's a film you hate that everyone else seems to love?</t>
  </si>
  <si>
    <t>Movies</t>
  </si>
  <si>
    <t>Si ta vie était un film, quel en serait le titre ?</t>
  </si>
  <si>
    <t>Biopic</t>
  </si>
  <si>
    <t>If your life were a film, what would it be called?</t>
  </si>
  <si>
    <t>Quelle personne célèbre selon toi devrait absolument sortir une biopic, et tu serais le 1er à le voir ?</t>
  </si>
  <si>
    <t>Which celebrity deserves a biopic, and you'd be the first one to watch it?</t>
  </si>
  <si>
    <t>Quel est le film le plus atypique qui t'a fait pleurer ?</t>
  </si>
  <si>
    <t>What's the most unexpected film that made you cry?</t>
  </si>
  <si>
    <t>En dehors de ton domicile, où tu te sens le plus chez toi ?</t>
  </si>
  <si>
    <t>Lieu</t>
  </si>
  <si>
    <t>Outside your home, where do you feel most at home?</t>
  </si>
  <si>
    <t>Places</t>
  </si>
  <si>
    <t>Si tu pouvais vivre dans un lieu fictif, lequel choisirais-tu?</t>
  </si>
  <si>
    <t>Lieu fictif</t>
  </si>
  <si>
    <t>If you could live in a fictional place, which one would you choose?</t>
  </si>
  <si>
    <t>Fictional Places</t>
  </si>
  <si>
    <t>Quel lieu fictif (film, série, livre, jeux-vidéo) te ferait le plus peur à visiter ?</t>
  </si>
  <si>
    <t>What fictional place (from a film, series, book, or video game) would terrify you to visit?</t>
  </si>
  <si>
    <t>Dans quel lieu très commun tu n'es jamais allé ?</t>
  </si>
  <si>
    <t>What very common place have you never actually been to?</t>
  </si>
  <si>
    <t>Quelle a été ta pire journée de travail ou stage, et qu'est-ce qui s'est passé ?</t>
  </si>
  <si>
    <t>Au travail</t>
  </si>
  <si>
    <t>What was your worst work day or internship experience, and what happened?</t>
  </si>
  <si>
    <t>At Work</t>
  </si>
  <si>
    <t>Si tu pouvais changer un truc dans ta vie professionnelle actuelle, ce serait quoi ?</t>
  </si>
  <si>
    <t>Situation professionnelle</t>
  </si>
  <si>
    <t>If you could change one thing about your current work life, what would it be?</t>
  </si>
  <si>
    <t>Work Life</t>
  </si>
  <si>
    <t>Si tu pouvais passer une journée dans le métier de quelqu'un d'autre juste pour voir, ce serait lequel ?</t>
  </si>
  <si>
    <t>Metiers</t>
  </si>
  <si>
    <t>If you could spend a day in someone else's job just to see, which one would it be?</t>
  </si>
  <si>
    <t>Jobs</t>
  </si>
  <si>
    <t>Quel métier pourrais-tu ne JAMAIS faire ?</t>
  </si>
  <si>
    <t>What job could you absolutely never do?</t>
  </si>
  <si>
    <t>Quel est le fantasme que tu avouerais devant ce groupe ?</t>
  </si>
  <si>
    <t>Fantasmes</t>
  </si>
  <si>
    <t>What fantasy would you admit to in front of this group?</t>
  </si>
  <si>
    <t>Fantasies</t>
  </si>
  <si>
    <t>Quel est le compliment le plus inattendu que tu aies reçu sur ton physique ou ta sensualité ?</t>
  </si>
  <si>
    <t>What's the most unexpected compliment you've ever received about your looks or sensuality?</t>
  </si>
  <si>
    <t>Quelle est la chose que tu trouves sexy chez quelqu'un et qui n'a rien à voir avec le physique ?</t>
  </si>
  <si>
    <t>Préférences</t>
  </si>
  <si>
    <t>What do you find sexy about someone that has nothing to do with their looks?</t>
  </si>
  <si>
    <t>Preferences</t>
  </si>
  <si>
    <t>Quel est ton style de mec/meuf en 3 mots ?</t>
  </si>
  <si>
    <t>What's your type in 3 words?</t>
  </si>
  <si>
    <t>Quel vêtement ou accessoire tu adores porter ?</t>
  </si>
  <si>
    <t>Vêtements</t>
  </si>
  <si>
    <t>What item of clothing or accessory do you love to wear?</t>
  </si>
  <si>
    <t>Clothes</t>
  </si>
  <si>
    <t>Quelle est la chose la plus bizarre que tu fais seul ?</t>
  </si>
  <si>
    <t>What</t>
  </si>
  <si>
    <t>What's the most bizarre thing you do when you're alone?</t>
  </si>
  <si>
    <t>Random</t>
  </si>
  <si>
    <t>Quelle est ta marque de vêtements préférée ?</t>
  </si>
  <si>
    <t>What's your favorite clothing brand?</t>
  </si>
  <si>
    <t>Quelle est ta plus grosse flemme quotidienne ?</t>
  </si>
  <si>
    <t>What's your biggest everyday laziness?</t>
  </si>
  <si>
    <t>Quelle est la meilleure chose que tu aies découverte sur toi-même en restant seul(e) ?</t>
  </si>
  <si>
    <t>Repli sur Soi</t>
  </si>
  <si>
    <t>What's the best thing you've discovered about yourself when spending time alone?</t>
  </si>
  <si>
    <t>Going Within</t>
  </si>
  <si>
    <t>À quel moment tu ressens le plus le besoin d'être seul(e) ?</t>
  </si>
  <si>
    <t>When do you feel the most need to be alone?</t>
  </si>
  <si>
    <t>Que fais-tu quand tu te retrouves seul(e) et que tu dois remplir une journée entière ?</t>
  </si>
  <si>
    <t>Solitude</t>
  </si>
  <si>
    <t>What do you do when you find yourself alone and have to fill an entire day?</t>
  </si>
  <si>
    <t>Quel est le moment de solitude dont tu te souviens le + ?</t>
  </si>
  <si>
    <t>What moment of solitude stands out the most in your memory?</t>
  </si>
  <si>
    <t>Quel a été ton premier métier, ou job étudiant ?</t>
  </si>
  <si>
    <t>What was your first job or student job?</t>
  </si>
  <si>
    <t>En un mot, qu'est-ce qui donne sens à ton travail ?</t>
  </si>
  <si>
    <t>In one word, what gives meaning to your work?</t>
  </si>
  <si>
    <t>Quelqu'un ne te souhaite pas ton anniversaire. Que fais-tu ?</t>
  </si>
  <si>
    <t>MISE EN SITUATION</t>
  </si>
  <si>
    <t>Conflit d'amitié</t>
  </si>
  <si>
    <t>A friend doesn't wish you happy birthday. What do you do?</t>
  </si>
  <si>
    <t>Friendship Conflict</t>
  </si>
  <si>
    <t>Tu apprends que ton groupe d'amis organisait un event sans t'inviter. Que fais-tu ?</t>
  </si>
  <si>
    <t>You find out your friend group organized an event without inviting you. What do you do?</t>
  </si>
  <si>
    <t>Qu'est-ce que tu penses des arabes ?</t>
  </si>
  <si>
    <t>MES OPINIONS</t>
  </si>
  <si>
    <t>Ethnies</t>
  </si>
  <si>
    <t>What do you think about Arab people?</t>
  </si>
  <si>
    <t>Ethnicities</t>
  </si>
  <si>
    <t>Les incohérences de données dans le Excel:</t>
  </si>
  <si>
    <t>Qu'est-ce que tu penses des indiens ?</t>
  </si>
  <si>
    <t>What do you think about Indian people?</t>
  </si>
  <si>
    <t>3 sujets (Langue, Petits Plaisirs, Contradictions) apparaissent dans 2 thèmes différents, chacun avec 1 question. En jeu, la carte affichera 1 seule question à pour ces sujets.</t>
  </si>
  <si>
    <t>Qu'est-ce que tu penses de Macron ?</t>
  </si>
  <si>
    <t>Personnalités politiques</t>
  </si>
  <si>
    <t>What do you think of Macron?</t>
  </si>
  <si>
    <t>Political Figures</t>
  </si>
  <si>
    <t>Qu'est-ce que tu penses de Donald Trump ?</t>
  </si>
  <si>
    <t>What do you think of Donald Trump?</t>
  </si>
  <si>
    <t>1 vrai bug : Discussions Idéales et Discussions idéales sont dans la même catégorie (DEEP et FACE À TOI-MÊME), juste une différence de majuscule au niveau du i→ doublon à fusionner.</t>
  </si>
  <si>
    <t>Qu'est-ce que tu penses de la religion ?</t>
  </si>
  <si>
    <t>Croyances</t>
  </si>
  <si>
    <t>What do you think about religion?</t>
  </si>
  <si>
    <t>Beliefs</t>
  </si>
  <si>
    <t>Qu'est-ce que tu penses du monde actuel ?</t>
  </si>
  <si>
    <t>What do you think about the world today?</t>
  </si>
  <si>
    <t>Tu vas croiser quelqu'un de la famille que tu n'apprécies pas du tout dans la rue, lui ne t'a pas encore vu. Que fais-tu ?</t>
  </si>
  <si>
    <t>Situation sociale</t>
  </si>
  <si>
    <t>You're about to cross a family member you can't stand in the street, and they haven't spotted you yet. What do you do?</t>
  </si>
  <si>
    <t>Social Situations</t>
  </si>
  <si>
    <t>Tu croises ton ex dans la rue avec son nouveau partenaire. Comment tu gères la conversation ?</t>
  </si>
  <si>
    <t>You run into your ex in the street with their new partner. How do you handle the conversation?</t>
  </si>
  <si>
    <t>Tu trouves un portefeuille avec 500€ et une carte d'identité dans le métro. Que fais-tu ?</t>
  </si>
  <si>
    <t>Dilemme moral</t>
  </si>
  <si>
    <t>You find a wallet with $500 and an ID on the subway. What do you do?</t>
  </si>
  <si>
    <t>Moral Dilemma</t>
  </si>
  <si>
    <t>Ton meilleur ami te révèle qu'il trompe sa copine depuis 6 mois et te demande de ne rien dire. Que fais-tu ?</t>
  </si>
  <si>
    <t>Your best friend tells you they've been cheating on their partner for 6 months and asks you to say nothing. What do you do?</t>
  </si>
  <si>
    <t>Tu rates ton avion d'une minute pour un voyage très attendu. Que fais-tu ?</t>
  </si>
  <si>
    <t>Imprévu voyage</t>
  </si>
  <si>
    <t>You miss your flight by one minute for a highly anticipated trip. What do you do?</t>
  </si>
  <si>
    <t>Travel Mishaps</t>
  </si>
  <si>
    <t>Tu arrives à l'étranger avec un téléphone mort et sans passeport. Que fais-tu ?</t>
  </si>
  <si>
    <t>You arrive abroad with a dead phone and no passport. What do you do?</t>
  </si>
  <si>
    <t>Tu surprends un proche en train de mentir clairement sur quelque chose d'important. Que fais-tu ?</t>
  </si>
  <si>
    <t>Proches &amp; confiance</t>
  </si>
  <si>
    <t>You catch a close friend clearly lying about something important. What do you do?</t>
  </si>
  <si>
    <t>Trust &amp; Close Ones</t>
  </si>
  <si>
    <t>Dans un groupe, quelqu'un se moque ouvertement de toi, les autrent rient. Que fais-tu ?</t>
  </si>
  <si>
    <t>In a group, someone openly mocks you and everyone else laughs. What do you do?</t>
  </si>
  <si>
    <t>Un( e ) amie( e ) proche qui t'es cher déclare qu'il a des sentiments pour toi. Que fais-tu ?</t>
  </si>
  <si>
    <t>Amour &amp; timing</t>
  </si>
  <si>
    <t>A close friend you care about tells you they have feelings for you. What do you do?</t>
  </si>
  <si>
    <t>Love &amp; Timing</t>
  </si>
  <si>
    <t>Tu es en couple depuis 3 ans et une personne que tu trouves incroyable te fait une déclaration soudaine. Que fais-tu ?</t>
  </si>
  <si>
    <t>You've been in a relationship for 3 years and someone incredible suddenly confesses their feelings. What do you do?</t>
  </si>
  <si>
    <t>Une vidéo de toi dans une situation embarrassante devient virale avec 2 millions de vues. Quelle est ta réaction ?</t>
  </si>
  <si>
    <t>Réputation &amp; visibilité</t>
  </si>
  <si>
    <t>A video of you in an embarrassing situation goes viral with 2 million views. What's your reaction?</t>
  </si>
  <si>
    <t>Reputation &amp; Visibility</t>
  </si>
  <si>
    <t>Une émission de téléréalité très populaire te contacte pour participer. Que fais-tu ?</t>
  </si>
  <si>
    <t>A very popular reality show contacts you to take part. What do you do?</t>
  </si>
  <si>
    <t>Tu réalises que ton ami est trop saoul et veut rentrer en voiture. Tu fais quoi ?</t>
  </si>
  <si>
    <t>Responsabilité</t>
  </si>
  <si>
    <t>You realize your friend is too drunk and wants to drive home. What do you do?</t>
  </si>
  <si>
    <t>Responsibility</t>
  </si>
  <si>
    <t>Tu vois quelqu'un d'isolé et perdu dans une soirée. Tu fais quoi ?</t>
  </si>
  <si>
    <t>You see someone isolated and lost at a party. What do you do?</t>
  </si>
  <si>
    <t>Tu te rends comptes que ton collègue gagne 20% de + que toi au même poste. Que fais-tu ?</t>
  </si>
  <si>
    <t>Intégrité pro</t>
  </si>
  <si>
    <t>You realize your colleague earns 20% more than you in the same role. What do you do?</t>
  </si>
  <si>
    <t>Work Integrity</t>
  </si>
  <si>
    <t>Tu rates une présentation importante devant 50 personnes à cause d'un bug. Les 5 secondes de silence. Que fais-tu ?</t>
  </si>
  <si>
    <t>You bomb an important presentation in front of 50 people due to a technical glitch. Five seconds of silence. What do you do?</t>
  </si>
  <si>
    <t>Tu reçois un message très intime d'un inconnu qui s'est trompé de destinataire. Qu'est-ce que tu fais ?</t>
  </si>
  <si>
    <t>Situations absurdes</t>
  </si>
  <si>
    <t>You receive a very intimate text from a stranger who sent it to the wrong person. What do you do?</t>
  </si>
  <si>
    <t>Absurd Situations</t>
  </si>
  <si>
    <t>Tu te rends compte que tu as échangé ta valise avec quelqu'un à l'aéroport. Dans la sienne, quelque chose de très personnel. Tu fais quoi ?</t>
  </si>
  <si>
    <t>You realize you swapped suitcases with someone at the airport. Inside theirs, something very personal. What do you do?</t>
  </si>
  <si>
    <t>Qu'est-ce que tu penses des réseaux sociaux ?</t>
  </si>
  <si>
    <t>Influenceurs</t>
  </si>
  <si>
    <t>What do you think about social media?</t>
  </si>
  <si>
    <t>Influencers</t>
  </si>
  <si>
    <t>Qu'est-ce que tu penses des influenceurs ?</t>
  </si>
  <si>
    <t>What do you think about influencers?</t>
  </si>
  <si>
    <t>Qu'est-ce que tu penses des gens qui cherchent leur partenaire uniquement sur des applis ?</t>
  </si>
  <si>
    <t>Amour moderne</t>
  </si>
  <si>
    <t>What do you think about people who only look for a partner on dating apps?</t>
  </si>
  <si>
    <t>Modern Love</t>
  </si>
  <si>
    <t>Qu'est-ce que tu penses du mariage ?</t>
  </si>
  <si>
    <t>What do you think about marriage?</t>
  </si>
  <si>
    <t>Qu'est-ce que tu penses des gens très riches qui ne donnent pas ?</t>
  </si>
  <si>
    <t>Argent &amp; éthique</t>
  </si>
  <si>
    <t>What do you think about very wealthy people who don't give anything back?</t>
  </si>
  <si>
    <t>Money &amp; Ethics</t>
  </si>
  <si>
    <t>Qu'est-ce que tu penses du bonheur et de son lien supposé avec l'argent ?</t>
  </si>
  <si>
    <t>What do you think about happiness and its supposed connection to money?</t>
  </si>
  <si>
    <t>Qu'est-ce que tu penses des gens qui ont beaucoup d'amis mais peu de relations profondes ?</t>
  </si>
  <si>
    <t>Amitié &amp; profondeur</t>
  </si>
  <si>
    <t>What do you think about people who have many friends but few deep relationships?</t>
  </si>
  <si>
    <t>Deep Friendships</t>
  </si>
  <si>
    <t>À partir de quand peut-on vraiment appeler quelqu'un son meilleur ami ?</t>
  </si>
  <si>
    <t>At what point can you truly call someone your best friend?</t>
  </si>
  <si>
    <t>Qu'est-ce que tu penses de la chirurgie esthétique ?</t>
  </si>
  <si>
    <t>Corps &amp; Apparence</t>
  </si>
  <si>
    <t>What do you think about cosmetic surgery?</t>
  </si>
  <si>
    <t>Body &amp; Appearance</t>
  </si>
  <si>
    <t>Qu'est-ce que tu penses des standards de beauté dans la société ?</t>
  </si>
  <si>
    <t>What do you think about society's beauty standards?</t>
  </si>
  <si>
    <t>Qu'est-ce que tu penses de l'intelligence artificielle ?</t>
  </si>
  <si>
    <t>Tech &amp; IA</t>
  </si>
  <si>
    <t>What do you think about artificial intelligence?</t>
  </si>
  <si>
    <t>Tech &amp; AI</t>
  </si>
  <si>
    <t>L'intelligence artificielle : chance pour l'humanité ou menace réelle ?</t>
  </si>
  <si>
    <t>Artificial intelligence: an opportunity for humanity or a real threat?</t>
  </si>
  <si>
    <t>Qu'est-ce que tu penses du développement personnel ?</t>
  </si>
  <si>
    <t>Développement personnel</t>
  </si>
  <si>
    <t>What do you think about personal development?</t>
  </si>
  <si>
    <t>Qu'est-ce que tu penses de la thérapie ?</t>
  </si>
  <si>
    <t>What do you think about therapy?</t>
  </si>
  <si>
    <t>Si ta nutrition était un nutriscore, de A à E, tu as quelle note ?</t>
  </si>
  <si>
    <t>Nutrition !</t>
  </si>
  <si>
    <t>If your diet had a health score from A to E, what grade would you get?</t>
  </si>
  <si>
    <t>Nutrition</t>
  </si>
  <si>
    <t>Quel est ton grignotage préféré ?</t>
  </si>
  <si>
    <t>What's your favorite snack?</t>
  </si>
  <si>
    <t>Quel moment historique aurais-tu aimé assister ?</t>
  </si>
  <si>
    <t>Voyage dans le passé !</t>
  </si>
  <si>
    <t>What historical moment would you have loved to witness?</t>
  </si>
  <si>
    <t>Time Travel</t>
  </si>
  <si>
    <t>Tu peux voyager dans le passé. Ou tu vas et à quelle époque ?</t>
  </si>
  <si>
    <t>You can travel back in time. Where do you go and to which era?</t>
  </si>
  <si>
    <t>Quelle est ton opinion sur l'euthanasie ?</t>
  </si>
  <si>
    <t>Dead</t>
  </si>
  <si>
    <t>What's your opinion on euthanasia?</t>
  </si>
  <si>
    <t>Life &amp; Death</t>
  </si>
  <si>
    <t>Quelle est ton opinion sur la peine de mort ?</t>
  </si>
  <si>
    <t>What's your opinion on the death penalty?</t>
  </si>
  <si>
    <t>Quel est le dernier cadeau en date que tu as offert à ta mère ?</t>
  </si>
  <si>
    <t>FAMILLE &amp; AMIS</t>
  </si>
  <si>
    <t>Tout pour la mama</t>
  </si>
  <si>
    <t>What's the last gift you gave your mother?</t>
  </si>
  <si>
    <t>FAMILY &amp; FRIENDS</t>
  </si>
  <si>
    <t>All For Mom</t>
  </si>
  <si>
    <t>Quel est le premier mot qui te vient à l'esprit quand tu penses à ta mère ?</t>
  </si>
  <si>
    <t>What's the first word that comes to mind when you think of your mother?</t>
  </si>
  <si>
    <t>THEMES</t>
  </si>
  <si>
    <t>CATEGORIES</t>
  </si>
  <si>
    <t>Type de Question</t>
  </si>
  <si>
    <t>DEEP</t>
  </si>
  <si>
    <t>Catégorie</t>
  </si>
  <si>
    <t>FUN</t>
  </si>
  <si>
    <t>ICEBREAKERS</t>
  </si>
  <si>
    <t>A l'écolé</t>
  </si>
  <si>
    <t>AVENIR :</t>
  </si>
  <si>
    <t>Ca ME SOULE</t>
  </si>
  <si>
    <t>Collection &amp; passions</t>
  </si>
  <si>
    <t>Commmunication</t>
  </si>
  <si>
    <t>Comportement</t>
  </si>
  <si>
    <t>Confiance &amp; Les Autres</t>
  </si>
  <si>
    <t>Conseils</t>
  </si>
  <si>
    <t>Conseils à Toi-Même</t>
  </si>
  <si>
    <t>Culture &amp; Identité</t>
  </si>
  <si>
    <t>Désirs</t>
  </si>
  <si>
    <t>Écrans</t>
  </si>
  <si>
    <t>Écriture</t>
  </si>
  <si>
    <t>Energie</t>
  </si>
  <si>
    <t>Films &amp; Chansons</t>
  </si>
  <si>
    <t>Grande Tristesse !</t>
  </si>
  <si>
    <t xml:space="preserve">Gratitude </t>
  </si>
  <si>
    <t>Historique &amp; Passé (B)</t>
  </si>
  <si>
    <t xml:space="preserve">Humeur </t>
  </si>
  <si>
    <t>Inattendu</t>
  </si>
  <si>
    <t>Jeux</t>
  </si>
  <si>
    <t xml:space="preserve">Justice </t>
  </si>
  <si>
    <t>La Déconne</t>
  </si>
  <si>
    <t>La Vie &amp; Groupe</t>
  </si>
  <si>
    <t>Langue (1)</t>
  </si>
  <si>
    <t xml:space="preserve">Maison </t>
  </si>
  <si>
    <t xml:space="preserve">Matin </t>
  </si>
  <si>
    <t>Nostalgie &amp; Mode</t>
  </si>
  <si>
    <t>Nuit</t>
  </si>
  <si>
    <t>Objectif</t>
  </si>
  <si>
    <t>Parentalité</t>
  </si>
  <si>
    <t xml:space="preserve">Partage </t>
  </si>
  <si>
    <t>Photos</t>
  </si>
  <si>
    <t>Pilier</t>
  </si>
  <si>
    <t>Plats &amp; Goûts Extrêmes</t>
  </si>
  <si>
    <t xml:space="preserve">Podcast </t>
  </si>
  <si>
    <t>Pouvoirs Utiles</t>
  </si>
  <si>
    <t>Qualité chez un Ami</t>
  </si>
  <si>
    <t>Qualités à Travailler</t>
  </si>
  <si>
    <t>Qualités/Défauts</t>
  </si>
  <si>
    <t>Questions de destin</t>
  </si>
  <si>
    <t>Roadtrips</t>
  </si>
  <si>
    <t>Romantique</t>
  </si>
  <si>
    <t>Série</t>
  </si>
  <si>
    <t xml:space="preserve">Social </t>
  </si>
  <si>
    <t xml:space="preserve">Solitude </t>
  </si>
  <si>
    <t>Souvenir</t>
  </si>
  <si>
    <t>Spectacles</t>
  </si>
  <si>
    <t>Superstitution</t>
  </si>
  <si>
    <t>Ta Confiance en Toi</t>
  </si>
  <si>
    <t>Tâches ménagères</t>
  </si>
  <si>
    <t>Tombé</t>
  </si>
  <si>
    <t>Trouvé</t>
  </si>
  <si>
    <t>Vériés</t>
  </si>
  <si>
    <t>Nb Questions</t>
  </si>
  <si>
    <t>Nb Types</t>
  </si>
  <si>
    <t>AMOUR &amp; SÉDUCTION</t>
  </si>
  <si>
    <t>CINÉ &amp; SÉRIES</t>
  </si>
  <si>
    <t>HUMOUR &amp; DOSSIERS</t>
  </si>
  <si>
    <t>LE MONDE</t>
  </si>
  <si>
    <t>MUSIQUE</t>
  </si>
  <si>
    <t>PASSIONS &amp; CRÉA</t>
  </si>
  <si>
    <t>RETOUR EN ARRIÈRE</t>
  </si>
  <si>
    <t>VOYAGES &amp; NATURE</t>
  </si>
  <si>
    <t>ÉMOTIONS &amp; BIEN-ÊTRE</t>
  </si>
  <si>
    <t>TOTAL</t>
  </si>
  <si>
    <t>PARTIES &amp; TRAVEL</t>
  </si>
  <si>
    <t>HOBBIES &amp; PASSIONS</t>
  </si>
  <si>
    <t>HOT TAKES</t>
  </si>
  <si>
    <t>WYD ?</t>
  </si>
  <si>
    <t>IN THE MIRROR</t>
  </si>
  <si>
    <t>FEELINGS</t>
  </si>
  <si>
    <t>SPICYYY</t>
  </si>
  <si>
    <t>ABOUT YOU</t>
  </si>
  <si>
    <t>AMBITIONS 🚀</t>
  </si>
  <si>
    <t>Tes rêves, ton argent, ta vision ! Que veux-tu vraiment construire ?</t>
  </si>
  <si>
    <t>→</t>
  </si>
  <si>
    <t>Your dreams, your money, your vision. What are you actually building?</t>
  </si>
  <si>
    <t>AMIS &amp; FAMILLE 🫂</t>
  </si>
  <si>
    <t>Des questions sur tes liens avec ceux qui comptent vraiment !</t>
  </si>
  <si>
    <t>Questions about the people who matter most. No sugarcoating.</t>
  </si>
  <si>
    <t>HOT 🔞</t>
  </si>
  <si>
    <t>En dehors des regards ! Pour les adultes uniquement.</t>
  </si>
  <si>
    <t>Adults only. No audience, no filter, no limits.</t>
  </si>
  <si>
    <t>CINÉ &amp; MUSIQUE 🎬</t>
  </si>
  <si>
    <t>Ce que tu écoutes, ce que tu regardes, ce que ça dit de toi sans que tu t'en rendes compte !</t>
  </si>
  <si>
    <t>ENTRE NOUS 👀</t>
  </si>
  <si>
    <t>Des questions sur la dynamique de groupe elle-même !</t>
  </si>
  <si>
    <t>Questions about the group itself. Let's get into it.</t>
  </si>
  <si>
    <t>FACE À TOI-MÊME 🪞</t>
  </si>
  <si>
    <t>Pas de filtre : ce que tu sais de toi mais que tu dis rarement.</t>
  </si>
  <si>
    <t>No filter. The things you know about yourself but rarely say out loud.</t>
  </si>
  <si>
    <t>LES DOSSIERS 📂</t>
  </si>
  <si>
    <t>Opinions tranchées, aveux gênants, Onskoné ou Onvastapé !</t>
  </si>
  <si>
    <t>Sharp opinions, awkward confessions. We see you.</t>
  </si>
  <si>
    <t>PASSIONS &amp; ACTIVITÉS 🎯</t>
  </si>
  <si>
    <t>Ce qui te fait vibrer dans la vie !</t>
  </si>
  <si>
    <t>The things that actually make you come alive.</t>
  </si>
  <si>
    <t>QUI ES-TU ? 🧬</t>
  </si>
  <si>
    <t>Ton introduction, et les premiers détails qui apprennent à savoir qui tu es !</t>
  </si>
  <si>
    <t>Your intro. The first details that tell us who you really are.</t>
  </si>
  <si>
    <t>QUOTIDIEN ☀️</t>
  </si>
  <si>
    <t>Le matin, les habitudes, les petits riens !</t>
  </si>
  <si>
    <t>Mornings, habits, routines. The small stuff that's actually everything.</t>
  </si>
  <si>
    <t>RETOUR EN ARRIÈRE ⏪</t>
  </si>
  <si>
    <t>L'enfance, les regrets, les tournants. Tout ce qui t'a construit !</t>
  </si>
  <si>
    <t>Childhood, regrets, turning points. Everything that made you who you are.</t>
  </si>
  <si>
    <t>VOYAGES &amp; SORTIE 🌍</t>
  </si>
  <si>
    <t>Où tu vas et où tu sors !</t>
  </si>
  <si>
    <t>ÉMOTIONS &amp; BIEN-ÊTRE 💛</t>
  </si>
  <si>
    <t>Ce que tu ressens vraiment ! Petite introspection.</t>
  </si>
  <si>
    <t>What you're actually feeling. A little introspection goes a long way.</t>
  </si>
  <si>
    <t>MISE EN SITUATION 🎭</t>
  </si>
  <si>
    <t>WYD?</t>
  </si>
  <si>
    <t>TES OPINIONS 🗣️</t>
  </si>
  <si>
    <t>What you watch, what you listen to, and what it says about you without you realizing it !</t>
  </si>
  <si>
    <t>Where you travel, and what you get up to !</t>
  </si>
  <si>
    <t>What would you do ? We put you in a scenario, show us how you act</t>
  </si>
  <si>
    <t>On te met dans un contexte, et on juge ce que ça donne !</t>
  </si>
  <si>
    <t>Your opinions, out loud, on everything, on some … subjects.</t>
  </si>
  <si>
    <t>Ce que tu penses à voix haute, sur plusieurs sujets... particuliers !</t>
  </si>
  <si>
    <t>Le meilleur</t>
  </si>
  <si>
    <t>Le champion</t>
  </si>
  <si>
    <t>Champion</t>
  </si>
  <si>
    <t>Future moments</t>
  </si>
  <si>
    <t>Discuss</t>
  </si>
  <si>
    <t>Progress</t>
  </si>
  <si>
    <t>Success</t>
  </si>
  <si>
    <t>Bad Behaviors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</si>
</sst>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92400E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sz val="7"/>
      <color rgb="FF141413"/>
      <name val="Arial"/>
      <family val="2"/>
    </font>
    <font>
      <sz val="6"/>
      <color rgb="FF3D3D3A"/>
      <name val="Arial"/>
      <family val="2"/>
    </font>
    <font>
      <sz val="14"/>
      <color rgb="FF73726C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2D3748"/>
      </patternFill>
    </fill>
    <fill>
      <patternFill patternType="solid">
        <fgColor rgb="FF4A5568"/>
      </patternFill>
    </fill>
    <fill>
      <patternFill patternType="solid">
        <fgColor rgb="FF553C9A"/>
      </patternFill>
    </fill>
    <fill>
      <patternFill patternType="solid">
        <fgColor rgb="FF2563EB"/>
      </patternFill>
    </fill>
    <fill>
      <patternFill patternType="solid">
        <fgColor rgb="FFB45309"/>
      </patternFill>
    </fill>
    <fill>
      <patternFill patternType="solid">
        <fgColor rgb="FFD6E8FF"/>
      </patternFill>
    </fill>
    <fill>
      <patternFill patternType="solid">
        <fgColor rgb="FFFEF3C7"/>
      </patternFill>
    </fill>
    <fill>
      <patternFill patternType="solid">
        <fgColor rgb="FFD6F0FF"/>
      </patternFill>
    </fill>
    <fill>
      <patternFill patternType="solid">
        <fgColor rgb="FFFFD6E0"/>
      </patternFill>
    </fill>
    <fill>
      <patternFill patternType="solid">
        <fgColor rgb="FFFFE8D6"/>
      </patternFill>
    </fill>
    <fill>
      <patternFill patternType="solid">
        <fgColor rgb="FFD6F5D6"/>
      </patternFill>
    </fill>
    <fill>
      <patternFill patternType="solid">
        <fgColor rgb="FFE8D6FF"/>
      </patternFill>
    </fill>
    <fill>
      <patternFill patternType="solid">
        <fgColor rgb="FFFFD6D6"/>
      </patternFill>
    </fill>
    <fill>
      <patternFill patternType="solid">
        <fgColor rgb="FFD6FFD6"/>
      </patternFill>
    </fill>
    <fill>
      <patternFill patternType="solid">
        <fgColor rgb="FFFFFBD6"/>
      </patternFill>
    </fill>
    <fill>
      <patternFill patternType="solid">
        <fgColor rgb="FFFFD6F5"/>
      </patternFill>
    </fill>
    <fill>
      <patternFill patternType="solid">
        <fgColor rgb="FFF0D6FF"/>
      </patternFill>
    </fill>
    <fill>
      <patternFill patternType="solid">
        <fgColor rgb="FFFFF0D6"/>
      </patternFill>
    </fill>
    <fill>
      <patternFill patternType="solid">
        <fgColor rgb="FFF5D6FF"/>
      </patternFill>
    </fill>
    <fill>
      <patternFill patternType="solid">
        <fgColor rgb="FFD6FFFC"/>
      </patternFill>
    </fill>
    <fill>
      <patternFill patternType="solid">
        <fgColor rgb="FFD6FFE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left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left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left"/>
    </xf>
    <xf numFmtId="0" fontId="5" fillId="16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left"/>
    </xf>
    <xf numFmtId="0" fontId="5" fillId="20" borderId="1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left"/>
    </xf>
    <xf numFmtId="0" fontId="5" fillId="21" borderId="1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left"/>
    </xf>
    <xf numFmtId="0" fontId="5" fillId="2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" xfId="0" applyBorder="1"/>
    <xf numFmtId="0" fontId="3" fillId="22" borderId="2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8" fillId="22" borderId="2" xfId="0" applyFont="1" applyFill="1" applyBorder="1" applyAlignment="1">
      <alignment horizontal="left" vertical="center" wrapText="1"/>
    </xf>
    <xf numFmtId="0" fontId="7" fillId="22" borderId="0" xfId="0" applyFont="1" applyFill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1"/>
  <sheetViews>
    <sheetView tabSelected="1" topLeftCell="C1" zoomScale="76" zoomScaleNormal="76" workbookViewId="0">
      <pane ySplit="1" topLeftCell="A4" activePane="bottomLeft" state="frozen"/>
      <selection pane="bottomLeft" activeCell="I1" sqref="I1"/>
    </sheetView>
  </sheetViews>
  <sheetFormatPr baseColWidth="10" defaultColWidth="8.7265625" defaultRowHeight="14.5" x14ac:dyDescent="0.35"/>
  <cols>
    <col min="1" max="1" width="71.1796875" customWidth="1"/>
    <col min="2" max="2" width="18" customWidth="1"/>
    <col min="3" max="3" width="22" customWidth="1"/>
    <col min="4" max="9" width="28" customWidth="1"/>
    <col min="10" max="10" width="45" customWidth="1"/>
  </cols>
  <sheetData>
    <row r="1" spans="1:10" ht="30" customHeight="1" x14ac:dyDescent="0.35">
      <c r="A1" s="1" t="s">
        <v>0</v>
      </c>
      <c r="B1" s="2" t="s">
        <v>1</v>
      </c>
      <c r="C1" s="3" t="s">
        <v>2</v>
      </c>
      <c r="D1" s="4" t="s">
        <v>3</v>
      </c>
      <c r="E1" s="4"/>
      <c r="F1" s="96" t="s">
        <v>4</v>
      </c>
      <c r="G1" s="96" t="s">
        <v>5</v>
      </c>
      <c r="H1" s="96" t="s">
        <v>3</v>
      </c>
      <c r="I1" s="96"/>
      <c r="J1" s="5" t="s">
        <v>6</v>
      </c>
    </row>
    <row r="2" spans="1:10" ht="22" customHeight="1" x14ac:dyDescent="0.35">
      <c r="A2" s="43" t="s">
        <v>7</v>
      </c>
      <c r="B2" s="43"/>
      <c r="C2" s="44" t="s">
        <v>8</v>
      </c>
      <c r="D2" s="45" t="s">
        <v>9</v>
      </c>
      <c r="E2" s="45">
        <f>COUNTIF(Questions!D:D,D2)</f>
        <v>2</v>
      </c>
      <c r="F2" s="45" t="s">
        <v>10</v>
      </c>
      <c r="G2" s="45" t="s">
        <v>11</v>
      </c>
      <c r="H2" s="45" t="s">
        <v>12</v>
      </c>
      <c r="I2" s="45">
        <f>COUNTIF(Questions!H:H,H2)</f>
        <v>2</v>
      </c>
      <c r="J2" s="44"/>
    </row>
    <row r="3" spans="1:10" ht="22" customHeight="1" x14ac:dyDescent="0.35">
      <c r="A3" s="43" t="s">
        <v>13</v>
      </c>
      <c r="B3" s="43"/>
      <c r="C3" s="44" t="s">
        <v>8</v>
      </c>
      <c r="D3" s="45" t="s">
        <v>9</v>
      </c>
      <c r="E3" s="45">
        <f>COUNTIF(Questions!D:D,D3)</f>
        <v>2</v>
      </c>
      <c r="F3" s="45" t="s">
        <v>14</v>
      </c>
      <c r="G3" s="45" t="s">
        <v>11</v>
      </c>
      <c r="H3" s="45" t="s">
        <v>12</v>
      </c>
      <c r="I3" s="45">
        <f>COUNTIF(Questions!H:H,H3)</f>
        <v>2</v>
      </c>
      <c r="J3" s="44"/>
    </row>
    <row r="4" spans="1:10" ht="22" customHeight="1" x14ac:dyDescent="0.35">
      <c r="A4" s="22" t="s">
        <v>15</v>
      </c>
      <c r="B4" s="22"/>
      <c r="C4" s="23" t="s">
        <v>16</v>
      </c>
      <c r="D4" s="102" t="s">
        <v>2175</v>
      </c>
      <c r="E4" s="24">
        <f>COUNTIF(Questions!D:D,D4)</f>
        <v>2</v>
      </c>
      <c r="F4" s="24" t="s">
        <v>18</v>
      </c>
      <c r="G4" s="24" t="s">
        <v>19</v>
      </c>
      <c r="H4" s="24" t="s">
        <v>20</v>
      </c>
      <c r="I4" s="24">
        <f>COUNTIF(Questions!H:H,H4)</f>
        <v>2</v>
      </c>
      <c r="J4" s="23"/>
    </row>
    <row r="5" spans="1:10" ht="22" customHeight="1" x14ac:dyDescent="0.35">
      <c r="A5" s="22" t="s">
        <v>21</v>
      </c>
      <c r="B5" s="22"/>
      <c r="C5" s="23" t="s">
        <v>16</v>
      </c>
      <c r="D5" s="102" t="s">
        <v>2175</v>
      </c>
      <c r="E5" s="24">
        <f>COUNTIF(Questions!D:D,D5)</f>
        <v>2</v>
      </c>
      <c r="F5" s="24" t="s">
        <v>22</v>
      </c>
      <c r="G5" s="24" t="s">
        <v>19</v>
      </c>
      <c r="H5" s="24" t="s">
        <v>20</v>
      </c>
      <c r="I5" s="24">
        <f>COUNTIF(Questions!H:H,H5)</f>
        <v>2</v>
      </c>
      <c r="J5" s="23"/>
    </row>
    <row r="6" spans="1:10" ht="22" customHeight="1" x14ac:dyDescent="0.35">
      <c r="A6" s="46" t="s">
        <v>23</v>
      </c>
      <c r="B6" s="46"/>
      <c r="C6" s="47" t="s">
        <v>24</v>
      </c>
      <c r="D6" s="48" t="s">
        <v>25</v>
      </c>
      <c r="E6" s="48">
        <f>COUNTIF(Questions!D:D,D6)</f>
        <v>2</v>
      </c>
      <c r="F6" s="48" t="s">
        <v>26</v>
      </c>
      <c r="G6" s="48" t="s">
        <v>27</v>
      </c>
      <c r="H6" s="48" t="s">
        <v>28</v>
      </c>
      <c r="I6" s="48">
        <f>COUNTIF(Questions!H:H,H6)</f>
        <v>2</v>
      </c>
      <c r="J6" s="47"/>
    </row>
    <row r="7" spans="1:10" ht="22" customHeight="1" x14ac:dyDescent="0.35">
      <c r="A7" s="46" t="s">
        <v>29</v>
      </c>
      <c r="B7" s="46"/>
      <c r="C7" s="47" t="s">
        <v>24</v>
      </c>
      <c r="D7" s="48" t="s">
        <v>25</v>
      </c>
      <c r="E7" s="48">
        <f>COUNTIF(Questions!D:D,D7)</f>
        <v>2</v>
      </c>
      <c r="F7" s="48" t="s">
        <v>30</v>
      </c>
      <c r="G7" s="48" t="s">
        <v>27</v>
      </c>
      <c r="H7" s="48" t="s">
        <v>28</v>
      </c>
      <c r="I7" s="48">
        <f>COUNTIF(Questions!H:H,H7)</f>
        <v>2</v>
      </c>
      <c r="J7" s="47">
        <v>23</v>
      </c>
    </row>
    <row r="8" spans="1:10" ht="22" customHeight="1" x14ac:dyDescent="0.35">
      <c r="A8" s="22" t="s">
        <v>31</v>
      </c>
      <c r="B8" s="22"/>
      <c r="C8" s="23" t="s">
        <v>16</v>
      </c>
      <c r="D8" s="24" t="s">
        <v>32</v>
      </c>
      <c r="E8" s="24">
        <f>COUNTIF(Questions!D:D,D8)</f>
        <v>2</v>
      </c>
      <c r="F8" s="24" t="s">
        <v>33</v>
      </c>
      <c r="G8" s="24" t="s">
        <v>19</v>
      </c>
      <c r="H8" s="24" t="s">
        <v>34</v>
      </c>
      <c r="I8" s="24">
        <f>COUNTIF(Questions!H:H,H8)</f>
        <v>2</v>
      </c>
      <c r="J8" s="23"/>
    </row>
    <row r="9" spans="1:10" ht="22" customHeight="1" x14ac:dyDescent="0.35">
      <c r="A9" s="22" t="s">
        <v>35</v>
      </c>
      <c r="B9" s="22"/>
      <c r="C9" s="23" t="s">
        <v>16</v>
      </c>
      <c r="D9" s="24" t="s">
        <v>32</v>
      </c>
      <c r="E9" s="24">
        <f>COUNTIF(Questions!D:D,D9)</f>
        <v>2</v>
      </c>
      <c r="F9" s="24" t="s">
        <v>36</v>
      </c>
      <c r="G9" s="24" t="s">
        <v>19</v>
      </c>
      <c r="H9" s="24" t="s">
        <v>34</v>
      </c>
      <c r="I9" s="24">
        <f>COUNTIF(Questions!H:H,H9)</f>
        <v>2</v>
      </c>
      <c r="J9" s="23"/>
    </row>
    <row r="10" spans="1:10" ht="22" customHeight="1" x14ac:dyDescent="0.35">
      <c r="A10" s="43" t="s">
        <v>37</v>
      </c>
      <c r="B10" s="43"/>
      <c r="C10" s="44" t="s">
        <v>8</v>
      </c>
      <c r="D10" s="45" t="s">
        <v>38</v>
      </c>
      <c r="E10" s="45">
        <f>COUNTIF(Questions!D:D,D10)</f>
        <v>2</v>
      </c>
      <c r="F10" s="45" t="s">
        <v>39</v>
      </c>
      <c r="G10" s="45" t="s">
        <v>11</v>
      </c>
      <c r="H10" s="45" t="s">
        <v>40</v>
      </c>
      <c r="I10" s="45">
        <f>COUNTIF(Questions!H:H,H10)</f>
        <v>2</v>
      </c>
      <c r="J10" s="44"/>
    </row>
    <row r="11" spans="1:10" ht="22" customHeight="1" x14ac:dyDescent="0.35">
      <c r="A11" s="43" t="s">
        <v>41</v>
      </c>
      <c r="B11" s="43"/>
      <c r="C11" s="44" t="s">
        <v>8</v>
      </c>
      <c r="D11" s="45" t="s">
        <v>38</v>
      </c>
      <c r="E11" s="45">
        <f>COUNTIF(Questions!D:D,D11)</f>
        <v>2</v>
      </c>
      <c r="F11" s="45" t="s">
        <v>42</v>
      </c>
      <c r="G11" s="45" t="s">
        <v>11</v>
      </c>
      <c r="H11" s="45" t="s">
        <v>40</v>
      </c>
      <c r="I11" s="45">
        <f>COUNTIF(Questions!H:H,H11)</f>
        <v>2</v>
      </c>
      <c r="J11" s="44"/>
    </row>
    <row r="12" spans="1:10" ht="22" customHeight="1" x14ac:dyDescent="0.35">
      <c r="A12" s="46" t="s">
        <v>43</v>
      </c>
      <c r="B12" s="46"/>
      <c r="C12" s="47" t="s">
        <v>24</v>
      </c>
      <c r="D12" s="48" t="s">
        <v>44</v>
      </c>
      <c r="E12" s="48">
        <f>COUNTIF(Questions!D:D,D12)</f>
        <v>2</v>
      </c>
      <c r="F12" s="48" t="s">
        <v>45</v>
      </c>
      <c r="G12" s="48" t="s">
        <v>27</v>
      </c>
      <c r="H12" s="48" t="s">
        <v>46</v>
      </c>
      <c r="I12" s="48">
        <f>COUNTIF(Questions!H:H,H12)</f>
        <v>2</v>
      </c>
      <c r="J12" s="47"/>
    </row>
    <row r="13" spans="1:10" ht="22" customHeight="1" x14ac:dyDescent="0.35">
      <c r="A13" s="46" t="s">
        <v>47</v>
      </c>
      <c r="B13" s="46"/>
      <c r="C13" s="47" t="s">
        <v>24</v>
      </c>
      <c r="D13" s="48" t="s">
        <v>44</v>
      </c>
      <c r="E13" s="48">
        <f>COUNTIF(Questions!D:D,D13)</f>
        <v>2</v>
      </c>
      <c r="F13" s="48" t="s">
        <v>48</v>
      </c>
      <c r="G13" s="48" t="s">
        <v>27</v>
      </c>
      <c r="H13" s="48" t="s">
        <v>46</v>
      </c>
      <c r="I13" s="48">
        <f>COUNTIF(Questions!H:H,H13)</f>
        <v>2</v>
      </c>
      <c r="J13" s="47"/>
    </row>
    <row r="14" spans="1:10" ht="22" customHeight="1" x14ac:dyDescent="0.35">
      <c r="A14" s="6" t="s">
        <v>49</v>
      </c>
      <c r="B14" s="6"/>
      <c r="C14" s="7" t="s">
        <v>50</v>
      </c>
      <c r="D14" s="8" t="s">
        <v>51</v>
      </c>
      <c r="E14" s="8">
        <f>COUNTIF(Questions!D:D,D14)</f>
        <v>2</v>
      </c>
      <c r="F14" s="8" t="s">
        <v>52</v>
      </c>
      <c r="G14" s="8" t="s">
        <v>50</v>
      </c>
      <c r="H14" s="8" t="s">
        <v>53</v>
      </c>
      <c r="I14" s="8">
        <f>COUNTIF(Questions!H:H,H14)</f>
        <v>2</v>
      </c>
      <c r="J14" s="7"/>
    </row>
    <row r="15" spans="1:10" ht="22" customHeight="1" x14ac:dyDescent="0.35">
      <c r="A15" s="6" t="s">
        <v>54</v>
      </c>
      <c r="B15" s="6"/>
      <c r="C15" s="7" t="s">
        <v>50</v>
      </c>
      <c r="D15" s="8" t="s">
        <v>51</v>
      </c>
      <c r="E15" s="8">
        <f>COUNTIF(Questions!D:D,D15)</f>
        <v>2</v>
      </c>
      <c r="F15" s="8" t="s">
        <v>55</v>
      </c>
      <c r="G15" s="8" t="s">
        <v>50</v>
      </c>
      <c r="H15" s="8" t="s">
        <v>53</v>
      </c>
      <c r="I15" s="8">
        <f>COUNTIF(Questions!H:H,H15)</f>
        <v>2</v>
      </c>
      <c r="J15" s="7"/>
    </row>
    <row r="16" spans="1:10" ht="22" customHeight="1" x14ac:dyDescent="0.35">
      <c r="A16" s="37" t="s">
        <v>56</v>
      </c>
      <c r="B16" s="37"/>
      <c r="C16" s="38" t="s">
        <v>57</v>
      </c>
      <c r="D16" s="39" t="s">
        <v>58</v>
      </c>
      <c r="E16" s="39">
        <f>COUNTIF(Questions!D:D,D16)</f>
        <v>2</v>
      </c>
      <c r="F16" s="39" t="s">
        <v>59</v>
      </c>
      <c r="G16" s="39" t="s">
        <v>2121</v>
      </c>
      <c r="H16" s="39" t="s">
        <v>60</v>
      </c>
      <c r="I16" s="39">
        <f>COUNTIF(Questions!H:H,H16)</f>
        <v>2</v>
      </c>
      <c r="J16" s="38"/>
    </row>
    <row r="17" spans="1:10" ht="22" customHeight="1" x14ac:dyDescent="0.35">
      <c r="A17" s="37" t="s">
        <v>61</v>
      </c>
      <c r="B17" s="37"/>
      <c r="C17" s="38" t="s">
        <v>57</v>
      </c>
      <c r="D17" s="39" t="s">
        <v>58</v>
      </c>
      <c r="E17" s="39">
        <f>COUNTIF(Questions!D:D,D17)</f>
        <v>2</v>
      </c>
      <c r="F17" s="39" t="s">
        <v>62</v>
      </c>
      <c r="G17" s="39" t="s">
        <v>2121</v>
      </c>
      <c r="H17" s="39" t="s">
        <v>60</v>
      </c>
      <c r="I17" s="39">
        <f>COUNTIF(Questions!H:H,H17)</f>
        <v>2</v>
      </c>
      <c r="J17" s="38"/>
    </row>
    <row r="18" spans="1:10" ht="22" customHeight="1" x14ac:dyDescent="0.35">
      <c r="A18" s="37" t="s">
        <v>63</v>
      </c>
      <c r="B18" s="37"/>
      <c r="C18" s="38" t="s">
        <v>64</v>
      </c>
      <c r="D18" s="39" t="s">
        <v>65</v>
      </c>
      <c r="E18" s="39">
        <f>COUNTIF(Questions!D:D,D18)</f>
        <v>2</v>
      </c>
      <c r="F18" s="39" t="s">
        <v>66</v>
      </c>
      <c r="G18" s="39" t="s">
        <v>67</v>
      </c>
      <c r="H18" s="39" t="s">
        <v>68</v>
      </c>
      <c r="I18" s="39">
        <f>COUNTIF(Questions!H:H,H18)</f>
        <v>2</v>
      </c>
      <c r="J18" s="38"/>
    </row>
    <row r="19" spans="1:10" ht="22" customHeight="1" x14ac:dyDescent="0.35">
      <c r="A19" s="37" t="s">
        <v>69</v>
      </c>
      <c r="B19" s="37"/>
      <c r="C19" s="38" t="s">
        <v>64</v>
      </c>
      <c r="D19" s="39" t="s">
        <v>65</v>
      </c>
      <c r="E19" s="39">
        <f>COUNTIF(Questions!D:D,D19)</f>
        <v>2</v>
      </c>
      <c r="F19" s="39" t="s">
        <v>70</v>
      </c>
      <c r="G19" s="39" t="s">
        <v>67</v>
      </c>
      <c r="H19" s="39" t="s">
        <v>68</v>
      </c>
      <c r="I19" s="39">
        <f>COUNTIF(Questions!H:H,H19)</f>
        <v>2</v>
      </c>
      <c r="J19" s="38"/>
    </row>
    <row r="20" spans="1:10" ht="22" customHeight="1" x14ac:dyDescent="0.35">
      <c r="A20" s="25" t="s">
        <v>71</v>
      </c>
      <c r="B20" s="25"/>
      <c r="C20" s="26" t="s">
        <v>72</v>
      </c>
      <c r="D20" s="27" t="s">
        <v>73</v>
      </c>
      <c r="E20" s="27">
        <f>COUNTIF(Questions!D:D,D20)</f>
        <v>2</v>
      </c>
      <c r="F20" s="27" t="s">
        <v>74</v>
      </c>
      <c r="G20" s="27" t="s">
        <v>2120</v>
      </c>
      <c r="H20" s="27" t="s">
        <v>75</v>
      </c>
      <c r="I20" s="27">
        <f>COUNTIF(Questions!H:H,H20)</f>
        <v>2</v>
      </c>
      <c r="J20" s="26"/>
    </row>
    <row r="21" spans="1:10" ht="22" customHeight="1" x14ac:dyDescent="0.35">
      <c r="A21" s="25" t="s">
        <v>76</v>
      </c>
      <c r="B21" s="25"/>
      <c r="C21" s="26" t="s">
        <v>72</v>
      </c>
      <c r="D21" s="27" t="s">
        <v>73</v>
      </c>
      <c r="E21" s="27">
        <f>COUNTIF(Questions!D:D,D21)</f>
        <v>2</v>
      </c>
      <c r="F21" s="27" t="s">
        <v>77</v>
      </c>
      <c r="G21" s="27" t="s">
        <v>2120</v>
      </c>
      <c r="H21" s="27" t="s">
        <v>75</v>
      </c>
      <c r="I21" s="27">
        <f>COUNTIF(Questions!H:H,H21)</f>
        <v>2</v>
      </c>
      <c r="J21" s="26"/>
    </row>
    <row r="22" spans="1:10" ht="22" customHeight="1" x14ac:dyDescent="0.35">
      <c r="A22" s="13" t="s">
        <v>78</v>
      </c>
      <c r="B22" s="13"/>
      <c r="C22" s="14" t="s">
        <v>79</v>
      </c>
      <c r="D22" s="15" t="s">
        <v>80</v>
      </c>
      <c r="E22" s="15">
        <f>COUNTIF(Questions!D:D,D22)</f>
        <v>2</v>
      </c>
      <c r="F22" s="15" t="s">
        <v>81</v>
      </c>
      <c r="G22" s="15" t="s">
        <v>2043</v>
      </c>
      <c r="H22" s="15" t="s">
        <v>82</v>
      </c>
      <c r="I22" s="15">
        <f>COUNTIF(Questions!H:H,H22)</f>
        <v>2</v>
      </c>
      <c r="J22" s="14"/>
    </row>
    <row r="23" spans="1:10" ht="22" customHeight="1" x14ac:dyDescent="0.35">
      <c r="A23" s="13" t="s">
        <v>83</v>
      </c>
      <c r="B23" s="13"/>
      <c r="C23" s="14" t="s">
        <v>79</v>
      </c>
      <c r="D23" s="15" t="s">
        <v>80</v>
      </c>
      <c r="E23" s="15">
        <f>COUNTIF(Questions!D:D,D23)</f>
        <v>2</v>
      </c>
      <c r="F23" s="15" t="s">
        <v>84</v>
      </c>
      <c r="G23" s="15" t="s">
        <v>2043</v>
      </c>
      <c r="H23" s="15" t="s">
        <v>82</v>
      </c>
      <c r="I23" s="15">
        <f>COUNTIF(Questions!H:H,H23)</f>
        <v>2</v>
      </c>
      <c r="J23" s="14"/>
    </row>
    <row r="24" spans="1:10" ht="22" customHeight="1" x14ac:dyDescent="0.35">
      <c r="A24" s="13" t="s">
        <v>85</v>
      </c>
      <c r="B24" s="13"/>
      <c r="C24" s="14" t="s">
        <v>79</v>
      </c>
      <c r="D24" s="15" t="s">
        <v>86</v>
      </c>
      <c r="E24" s="15">
        <f>COUNTIF(Questions!D:D,D24)</f>
        <v>2</v>
      </c>
      <c r="F24" s="15" t="s">
        <v>87</v>
      </c>
      <c r="G24" s="15" t="s">
        <v>2043</v>
      </c>
      <c r="H24" s="15" t="s">
        <v>88</v>
      </c>
      <c r="I24" s="15">
        <f>COUNTIF(Questions!H:H,H24)</f>
        <v>2</v>
      </c>
      <c r="J24" s="14"/>
    </row>
    <row r="25" spans="1:10" ht="22" customHeight="1" x14ac:dyDescent="0.35">
      <c r="A25" s="13" t="s">
        <v>89</v>
      </c>
      <c r="B25" s="13"/>
      <c r="C25" s="14" t="s">
        <v>79</v>
      </c>
      <c r="D25" s="15" t="s">
        <v>86</v>
      </c>
      <c r="E25" s="15">
        <f>COUNTIF(Questions!D:D,D25)</f>
        <v>2</v>
      </c>
      <c r="F25" s="15" t="s">
        <v>90</v>
      </c>
      <c r="G25" s="15" t="s">
        <v>2043</v>
      </c>
      <c r="H25" s="15" t="s">
        <v>88</v>
      </c>
      <c r="I25" s="15">
        <f>COUNTIF(Questions!H:H,H25)</f>
        <v>2</v>
      </c>
      <c r="J25" s="14"/>
    </row>
    <row r="26" spans="1:10" ht="22" customHeight="1" x14ac:dyDescent="0.35">
      <c r="A26" s="52" t="s">
        <v>91</v>
      </c>
      <c r="B26" s="52"/>
      <c r="C26" s="53" t="s">
        <v>92</v>
      </c>
      <c r="D26" s="54" t="s">
        <v>93</v>
      </c>
      <c r="E26" s="54">
        <f>COUNTIF(Questions!D:D,D26)</f>
        <v>2</v>
      </c>
      <c r="F26" s="54" t="s">
        <v>94</v>
      </c>
      <c r="G26" s="54" t="s">
        <v>2125</v>
      </c>
      <c r="H26" s="54" t="s">
        <v>95</v>
      </c>
      <c r="I26" s="54">
        <f>COUNTIF(Questions!H:H,H26)</f>
        <v>2</v>
      </c>
      <c r="J26" s="53"/>
    </row>
    <row r="27" spans="1:10" ht="22" customHeight="1" x14ac:dyDescent="0.35">
      <c r="A27" s="52" t="s">
        <v>96</v>
      </c>
      <c r="B27" s="52"/>
      <c r="C27" s="53" t="s">
        <v>92</v>
      </c>
      <c r="D27" s="54" t="s">
        <v>93</v>
      </c>
      <c r="E27" s="54">
        <f>COUNTIF(Questions!D:D,D27)</f>
        <v>2</v>
      </c>
      <c r="F27" s="54" t="s">
        <v>97</v>
      </c>
      <c r="G27" s="54" t="s">
        <v>2125</v>
      </c>
      <c r="H27" s="54" t="s">
        <v>95</v>
      </c>
      <c r="I27" s="54">
        <f>COUNTIF(Questions!H:H,H27)</f>
        <v>2</v>
      </c>
      <c r="J27" s="53"/>
    </row>
    <row r="28" spans="1:10" ht="22" customHeight="1" x14ac:dyDescent="0.35">
      <c r="A28" s="37" t="s">
        <v>98</v>
      </c>
      <c r="B28" s="37"/>
      <c r="C28" s="38" t="s">
        <v>57</v>
      </c>
      <c r="D28" s="39" t="s">
        <v>99</v>
      </c>
      <c r="E28" s="39">
        <f>COUNTIF(Questions!D:D,D28)</f>
        <v>2</v>
      </c>
      <c r="F28" s="39" t="s">
        <v>100</v>
      </c>
      <c r="G28" s="39" t="s">
        <v>2121</v>
      </c>
      <c r="H28" s="39" t="s">
        <v>101</v>
      </c>
      <c r="I28" s="39">
        <f>COUNTIF(Questions!H:H,H28)</f>
        <v>2</v>
      </c>
      <c r="J28" s="38"/>
    </row>
    <row r="29" spans="1:10" ht="22" customHeight="1" x14ac:dyDescent="0.35">
      <c r="A29" s="37" t="s">
        <v>102</v>
      </c>
      <c r="B29" s="37"/>
      <c r="C29" s="38" t="s">
        <v>57</v>
      </c>
      <c r="D29" s="39" t="s">
        <v>99</v>
      </c>
      <c r="E29" s="39">
        <f>COUNTIF(Questions!D:D,D29)</f>
        <v>2</v>
      </c>
      <c r="F29" s="39" t="s">
        <v>103</v>
      </c>
      <c r="G29" s="39" t="s">
        <v>2121</v>
      </c>
      <c r="H29" s="39" t="s">
        <v>101</v>
      </c>
      <c r="I29" s="39">
        <f>COUNTIF(Questions!H:H,H29)</f>
        <v>2</v>
      </c>
      <c r="J29" s="38"/>
    </row>
    <row r="30" spans="1:10" ht="22" customHeight="1" x14ac:dyDescent="0.35">
      <c r="A30" s="37" t="s">
        <v>104</v>
      </c>
      <c r="B30" s="37"/>
      <c r="C30" s="38" t="s">
        <v>57</v>
      </c>
      <c r="D30" s="39" t="s">
        <v>105</v>
      </c>
      <c r="E30" s="39">
        <f>COUNTIF(Questions!D:D,D30)</f>
        <v>2</v>
      </c>
      <c r="F30" s="39" t="s">
        <v>106</v>
      </c>
      <c r="G30" s="39" t="s">
        <v>2121</v>
      </c>
      <c r="H30" s="39" t="s">
        <v>107</v>
      </c>
      <c r="I30" s="39">
        <f>COUNTIF(Questions!H:H,H30)</f>
        <v>2</v>
      </c>
      <c r="J30" s="38"/>
    </row>
    <row r="31" spans="1:10" ht="22" customHeight="1" x14ac:dyDescent="0.35">
      <c r="A31" s="37" t="s">
        <v>108</v>
      </c>
      <c r="B31" s="37"/>
      <c r="C31" s="38" t="s">
        <v>57</v>
      </c>
      <c r="D31" s="39" t="s">
        <v>105</v>
      </c>
      <c r="E31" s="39">
        <f>COUNTIF(Questions!D:D,D31)</f>
        <v>2</v>
      </c>
      <c r="F31" s="39" t="s">
        <v>109</v>
      </c>
      <c r="G31" s="39" t="s">
        <v>2121</v>
      </c>
      <c r="H31" s="39" t="s">
        <v>107</v>
      </c>
      <c r="I31" s="39">
        <f>COUNTIF(Questions!H:H,H31)</f>
        <v>2</v>
      </c>
      <c r="J31" s="38"/>
    </row>
    <row r="32" spans="1:10" ht="22" customHeight="1" x14ac:dyDescent="0.35">
      <c r="A32" s="19" t="s">
        <v>110</v>
      </c>
      <c r="B32" s="19"/>
      <c r="C32" s="20" t="s">
        <v>64</v>
      </c>
      <c r="D32" s="21" t="s">
        <v>111</v>
      </c>
      <c r="E32" s="21">
        <f>COUNTIF(Questions!D:D,D32)</f>
        <v>2</v>
      </c>
      <c r="F32" s="21" t="s">
        <v>112</v>
      </c>
      <c r="G32" s="21" t="s">
        <v>67</v>
      </c>
      <c r="H32" s="21" t="s">
        <v>113</v>
      </c>
      <c r="I32" s="21">
        <f>COUNTIF(Questions!H:H,H32)</f>
        <v>2</v>
      </c>
      <c r="J32" s="20"/>
    </row>
    <row r="33" spans="1:10" ht="22" customHeight="1" x14ac:dyDescent="0.35">
      <c r="A33" s="19" t="s">
        <v>114</v>
      </c>
      <c r="B33" s="19"/>
      <c r="C33" s="20" t="s">
        <v>64</v>
      </c>
      <c r="D33" s="21" t="s">
        <v>111</v>
      </c>
      <c r="E33" s="21">
        <f>COUNTIF(Questions!D:D,D33)</f>
        <v>2</v>
      </c>
      <c r="F33" s="21" t="s">
        <v>115</v>
      </c>
      <c r="G33" s="21" t="s">
        <v>67</v>
      </c>
      <c r="H33" s="21" t="s">
        <v>113</v>
      </c>
      <c r="I33" s="21">
        <f>COUNTIF(Questions!H:H,H33)</f>
        <v>2</v>
      </c>
      <c r="J33" s="20">
        <v>23</v>
      </c>
    </row>
    <row r="34" spans="1:10" ht="22" customHeight="1" x14ac:dyDescent="0.35">
      <c r="A34" s="43" t="s">
        <v>116</v>
      </c>
      <c r="B34" s="43"/>
      <c r="C34" s="44" t="s">
        <v>8</v>
      </c>
      <c r="D34" s="45" t="s">
        <v>117</v>
      </c>
      <c r="E34" s="45">
        <f>COUNTIF(Questions!D:D,D34)</f>
        <v>2</v>
      </c>
      <c r="F34" s="45" t="s">
        <v>118</v>
      </c>
      <c r="G34" s="45" t="s">
        <v>11</v>
      </c>
      <c r="H34" s="45" t="s">
        <v>119</v>
      </c>
      <c r="I34" s="45">
        <f>COUNTIF(Questions!H:H,H34)</f>
        <v>2</v>
      </c>
      <c r="J34" s="44"/>
    </row>
    <row r="35" spans="1:10" ht="22" customHeight="1" x14ac:dyDescent="0.35">
      <c r="A35" s="43" t="s">
        <v>120</v>
      </c>
      <c r="B35" s="43"/>
      <c r="C35" s="44" t="s">
        <v>8</v>
      </c>
      <c r="D35" s="45" t="s">
        <v>117</v>
      </c>
      <c r="E35" s="45">
        <f>COUNTIF(Questions!D:D,D35)</f>
        <v>2</v>
      </c>
      <c r="F35" s="45" t="s">
        <v>121</v>
      </c>
      <c r="G35" s="45" t="s">
        <v>11</v>
      </c>
      <c r="H35" s="45" t="s">
        <v>119</v>
      </c>
      <c r="I35" s="45">
        <f>COUNTIF(Questions!H:H,H35)</f>
        <v>2</v>
      </c>
      <c r="J35" s="44"/>
    </row>
    <row r="36" spans="1:10" ht="22" customHeight="1" x14ac:dyDescent="0.35">
      <c r="A36" s="22" t="s">
        <v>122</v>
      </c>
      <c r="B36" s="22"/>
      <c r="C36" s="23" t="s">
        <v>16</v>
      </c>
      <c r="D36" s="24" t="s">
        <v>123</v>
      </c>
      <c r="E36" s="24">
        <f>COUNTIF(Questions!D:D,D36)</f>
        <v>2</v>
      </c>
      <c r="F36" s="24" t="s">
        <v>124</v>
      </c>
      <c r="G36" s="24" t="s">
        <v>19</v>
      </c>
      <c r="H36" s="24" t="s">
        <v>125</v>
      </c>
      <c r="I36" s="24">
        <f>COUNTIF(Questions!H:H,H36)</f>
        <v>2</v>
      </c>
      <c r="J36" s="23"/>
    </row>
    <row r="37" spans="1:10" ht="22" customHeight="1" x14ac:dyDescent="0.35">
      <c r="A37" s="22" t="s">
        <v>126</v>
      </c>
      <c r="B37" s="22"/>
      <c r="C37" s="23" t="s">
        <v>16</v>
      </c>
      <c r="D37" s="24" t="s">
        <v>123</v>
      </c>
      <c r="E37" s="24">
        <f>COUNTIF(Questions!D:D,D37)</f>
        <v>2</v>
      </c>
      <c r="F37" s="24" t="s">
        <v>127</v>
      </c>
      <c r="G37" s="24" t="s">
        <v>19</v>
      </c>
      <c r="H37" s="24" t="s">
        <v>125</v>
      </c>
      <c r="I37" s="24">
        <f>COUNTIF(Questions!H:H,H37)</f>
        <v>2</v>
      </c>
      <c r="J37" s="23"/>
    </row>
    <row r="38" spans="1:10" ht="22" customHeight="1" x14ac:dyDescent="0.35">
      <c r="A38" s="37" t="s">
        <v>128</v>
      </c>
      <c r="B38" s="37"/>
      <c r="C38" s="38" t="s">
        <v>57</v>
      </c>
      <c r="D38" s="39" t="s">
        <v>129</v>
      </c>
      <c r="E38" s="39">
        <f>COUNTIF(Questions!D:D,D38)</f>
        <v>2</v>
      </c>
      <c r="F38" s="39" t="s">
        <v>130</v>
      </c>
      <c r="G38" s="39" t="s">
        <v>2121</v>
      </c>
      <c r="H38" s="39" t="s">
        <v>129</v>
      </c>
      <c r="I38" s="39">
        <f>COUNTIF(Questions!H:H,H38)</f>
        <v>2</v>
      </c>
      <c r="J38" s="38"/>
    </row>
    <row r="39" spans="1:10" ht="22" customHeight="1" x14ac:dyDescent="0.35">
      <c r="A39" s="37" t="s">
        <v>131</v>
      </c>
      <c r="B39" s="37"/>
      <c r="C39" s="38" t="s">
        <v>57</v>
      </c>
      <c r="D39" s="39" t="s">
        <v>129</v>
      </c>
      <c r="E39" s="39">
        <f>COUNTIF(Questions!D:D,D39)</f>
        <v>2</v>
      </c>
      <c r="F39" s="39" t="s">
        <v>132</v>
      </c>
      <c r="G39" s="39" t="s">
        <v>2121</v>
      </c>
      <c r="H39" s="39" t="s">
        <v>129</v>
      </c>
      <c r="I39" s="39">
        <f>COUNTIF(Questions!H:H,H39)</f>
        <v>2</v>
      </c>
      <c r="J39" s="38"/>
    </row>
    <row r="40" spans="1:10" ht="22" customHeight="1" x14ac:dyDescent="0.35">
      <c r="A40" s="37" t="s">
        <v>133</v>
      </c>
      <c r="B40" s="37"/>
      <c r="C40" s="38" t="s">
        <v>57</v>
      </c>
      <c r="D40" s="39" t="s">
        <v>134</v>
      </c>
      <c r="E40" s="39">
        <f>COUNTIF(Questions!D:D,D40)</f>
        <v>2</v>
      </c>
      <c r="F40" s="39" t="s">
        <v>135</v>
      </c>
      <c r="G40" s="39" t="s">
        <v>2121</v>
      </c>
      <c r="H40" s="39" t="s">
        <v>134</v>
      </c>
      <c r="I40" s="39">
        <f>COUNTIF(Questions!H:H,H40)</f>
        <v>2</v>
      </c>
      <c r="J40" s="38"/>
    </row>
    <row r="41" spans="1:10" ht="22" customHeight="1" x14ac:dyDescent="0.35">
      <c r="A41" s="37" t="s">
        <v>136</v>
      </c>
      <c r="B41" s="37"/>
      <c r="C41" s="38" t="s">
        <v>57</v>
      </c>
      <c r="D41" s="39" t="s">
        <v>134</v>
      </c>
      <c r="E41" s="39">
        <f>COUNTIF(Questions!D:D,D41)</f>
        <v>2</v>
      </c>
      <c r="F41" s="39" t="s">
        <v>137</v>
      </c>
      <c r="G41" s="39" t="s">
        <v>2121</v>
      </c>
      <c r="H41" s="39" t="s">
        <v>134</v>
      </c>
      <c r="I41" s="39">
        <f>COUNTIF(Questions!H:H,H41)</f>
        <v>2</v>
      </c>
      <c r="J41" s="38"/>
    </row>
    <row r="42" spans="1:10" ht="22" customHeight="1" x14ac:dyDescent="0.35">
      <c r="A42" s="6" t="s">
        <v>138</v>
      </c>
      <c r="B42" s="6"/>
      <c r="C42" s="7" t="s">
        <v>50</v>
      </c>
      <c r="D42" s="8" t="s">
        <v>139</v>
      </c>
      <c r="E42" s="8">
        <f>COUNTIF(Questions!D:D,D42)</f>
        <v>2</v>
      </c>
      <c r="F42" s="8" t="s">
        <v>140</v>
      </c>
      <c r="G42" s="8" t="s">
        <v>50</v>
      </c>
      <c r="H42" s="8" t="s">
        <v>141</v>
      </c>
      <c r="I42" s="8">
        <f>COUNTIF(Questions!H:H,H42)</f>
        <v>2</v>
      </c>
      <c r="J42" s="7"/>
    </row>
    <row r="43" spans="1:10" ht="22" customHeight="1" x14ac:dyDescent="0.35">
      <c r="A43" s="6" t="s">
        <v>142</v>
      </c>
      <c r="B43" s="6"/>
      <c r="C43" s="7" t="s">
        <v>50</v>
      </c>
      <c r="D43" s="8" t="s">
        <v>139</v>
      </c>
      <c r="E43" s="8">
        <f>COUNTIF(Questions!D:D,D43)</f>
        <v>2</v>
      </c>
      <c r="F43" s="8" t="s">
        <v>143</v>
      </c>
      <c r="G43" s="8" t="s">
        <v>50</v>
      </c>
      <c r="H43" s="8" t="s">
        <v>141</v>
      </c>
      <c r="I43" s="8">
        <f>COUNTIF(Questions!H:H,H43)</f>
        <v>2</v>
      </c>
      <c r="J43" s="7"/>
    </row>
    <row r="44" spans="1:10" ht="22" customHeight="1" x14ac:dyDescent="0.35">
      <c r="A44" s="25" t="s">
        <v>144</v>
      </c>
      <c r="B44" s="25"/>
      <c r="C44" s="26" t="s">
        <v>145</v>
      </c>
      <c r="D44" s="27" t="s">
        <v>146</v>
      </c>
      <c r="E44" s="27">
        <f>COUNTIF(Questions!D:D,D44)</f>
        <v>2</v>
      </c>
      <c r="F44" s="27" t="s">
        <v>147</v>
      </c>
      <c r="G44" s="27" t="s">
        <v>2127</v>
      </c>
      <c r="H44" s="27" t="s">
        <v>148</v>
      </c>
      <c r="I44" s="27">
        <f>COUNTIF(Questions!H:H,H44)</f>
        <v>2</v>
      </c>
      <c r="J44" s="26"/>
    </row>
    <row r="45" spans="1:10" ht="22" customHeight="1" x14ac:dyDescent="0.35">
      <c r="A45" s="25" t="s">
        <v>149</v>
      </c>
      <c r="B45" s="25"/>
      <c r="C45" s="26" t="s">
        <v>145</v>
      </c>
      <c r="D45" s="27" t="s">
        <v>146</v>
      </c>
      <c r="E45" s="27">
        <f>COUNTIF(Questions!D:D,D45)</f>
        <v>2</v>
      </c>
      <c r="F45" s="27" t="s">
        <v>150</v>
      </c>
      <c r="G45" s="27" t="s">
        <v>2127</v>
      </c>
      <c r="H45" s="27" t="s">
        <v>148</v>
      </c>
      <c r="I45" s="27">
        <f>COUNTIF(Questions!H:H,H45)</f>
        <v>2</v>
      </c>
      <c r="J45" s="26"/>
    </row>
    <row r="46" spans="1:10" ht="22" customHeight="1" x14ac:dyDescent="0.35">
      <c r="A46" s="52" t="s">
        <v>151</v>
      </c>
      <c r="B46" s="52"/>
      <c r="C46" s="53" t="s">
        <v>92</v>
      </c>
      <c r="D46" s="54" t="s">
        <v>152</v>
      </c>
      <c r="E46" s="54">
        <f>COUNTIF(Questions!D:D,D46)</f>
        <v>2</v>
      </c>
      <c r="F46" s="54" t="s">
        <v>153</v>
      </c>
      <c r="G46" s="54" t="s">
        <v>2125</v>
      </c>
      <c r="H46" s="54" t="s">
        <v>154</v>
      </c>
      <c r="I46" s="54">
        <f>COUNTIF(Questions!H:H,H46)</f>
        <v>2</v>
      </c>
      <c r="J46" s="53"/>
    </row>
    <row r="47" spans="1:10" ht="22" customHeight="1" x14ac:dyDescent="0.35">
      <c r="A47" s="52" t="s">
        <v>155</v>
      </c>
      <c r="B47" s="52"/>
      <c r="C47" s="53" t="s">
        <v>92</v>
      </c>
      <c r="D47" s="54" t="s">
        <v>152</v>
      </c>
      <c r="E47" s="54">
        <f>COUNTIF(Questions!D:D,D47)</f>
        <v>2</v>
      </c>
      <c r="F47" s="54" t="s">
        <v>156</v>
      </c>
      <c r="G47" s="54" t="s">
        <v>2125</v>
      </c>
      <c r="H47" s="54" t="s">
        <v>154</v>
      </c>
      <c r="I47" s="54">
        <f>COUNTIF(Questions!H:H,H47)</f>
        <v>2</v>
      </c>
      <c r="J47" s="53"/>
    </row>
    <row r="48" spans="1:10" ht="22" customHeight="1" x14ac:dyDescent="0.35">
      <c r="A48" s="43" t="s">
        <v>157</v>
      </c>
      <c r="B48" s="43"/>
      <c r="C48" s="44" t="s">
        <v>8</v>
      </c>
      <c r="D48" s="45" t="s">
        <v>158</v>
      </c>
      <c r="E48" s="45">
        <f>COUNTIF(Questions!D:D,D48)</f>
        <v>2</v>
      </c>
      <c r="F48" s="45" t="s">
        <v>159</v>
      </c>
      <c r="G48" s="45" t="s">
        <v>11</v>
      </c>
      <c r="H48" s="45" t="s">
        <v>160</v>
      </c>
      <c r="I48" s="45">
        <f>COUNTIF(Questions!H:H,H48)</f>
        <v>2</v>
      </c>
      <c r="J48" s="44"/>
    </row>
    <row r="49" spans="1:10" ht="22" customHeight="1" x14ac:dyDescent="0.35">
      <c r="A49" s="43" t="s">
        <v>161</v>
      </c>
      <c r="B49" s="43"/>
      <c r="C49" s="44" t="s">
        <v>8</v>
      </c>
      <c r="D49" s="45" t="s">
        <v>158</v>
      </c>
      <c r="E49" s="45">
        <f>COUNTIF(Questions!D:D,D49)</f>
        <v>2</v>
      </c>
      <c r="F49" s="45" t="s">
        <v>162</v>
      </c>
      <c r="G49" s="45" t="s">
        <v>11</v>
      </c>
      <c r="H49" s="45" t="s">
        <v>160</v>
      </c>
      <c r="I49" s="45">
        <f>COUNTIF(Questions!H:H,H49)</f>
        <v>2</v>
      </c>
      <c r="J49" s="44"/>
    </row>
    <row r="50" spans="1:10" ht="22" customHeight="1" x14ac:dyDescent="0.35">
      <c r="A50" s="37" t="s">
        <v>163</v>
      </c>
      <c r="B50" s="37"/>
      <c r="C50" s="38" t="s">
        <v>24</v>
      </c>
      <c r="D50" s="39" t="s">
        <v>164</v>
      </c>
      <c r="E50" s="39">
        <f>COUNTIF(Questions!D:D,D50)</f>
        <v>2</v>
      </c>
      <c r="F50" s="39" t="s">
        <v>165</v>
      </c>
      <c r="G50" s="39" t="s">
        <v>27</v>
      </c>
      <c r="H50" s="39" t="s">
        <v>166</v>
      </c>
      <c r="I50" s="39">
        <f>COUNTIF(Questions!H:H,H50)</f>
        <v>2</v>
      </c>
      <c r="J50" s="38"/>
    </row>
    <row r="51" spans="1:10" ht="22" customHeight="1" x14ac:dyDescent="0.35">
      <c r="A51" s="37" t="s">
        <v>167</v>
      </c>
      <c r="B51" s="37"/>
      <c r="C51" s="38" t="s">
        <v>24</v>
      </c>
      <c r="D51" s="39" t="s">
        <v>164</v>
      </c>
      <c r="E51" s="39">
        <f>COUNTIF(Questions!D:D,D51)</f>
        <v>2</v>
      </c>
      <c r="F51" s="39" t="s">
        <v>168</v>
      </c>
      <c r="G51" s="39" t="s">
        <v>27</v>
      </c>
      <c r="H51" s="39" t="s">
        <v>166</v>
      </c>
      <c r="I51" s="39">
        <f>COUNTIF(Questions!H:H,H51)</f>
        <v>2</v>
      </c>
      <c r="J51" s="38">
        <v>23</v>
      </c>
    </row>
    <row r="52" spans="1:10" ht="22" customHeight="1" x14ac:dyDescent="0.35">
      <c r="A52" s="6" t="s">
        <v>169</v>
      </c>
      <c r="B52" s="6"/>
      <c r="C52" s="7" t="s">
        <v>50</v>
      </c>
      <c r="D52" s="8" t="s">
        <v>170</v>
      </c>
      <c r="E52" s="8">
        <f>COUNTIF(Questions!D:D,D52)</f>
        <v>2</v>
      </c>
      <c r="F52" s="8" t="s">
        <v>171</v>
      </c>
      <c r="G52" s="8" t="s">
        <v>50</v>
      </c>
      <c r="H52" s="8" t="s">
        <v>172</v>
      </c>
      <c r="I52" s="8">
        <f>COUNTIF(Questions!H:H,H52)</f>
        <v>2</v>
      </c>
      <c r="J52" s="7"/>
    </row>
    <row r="53" spans="1:10" ht="22" customHeight="1" x14ac:dyDescent="0.35">
      <c r="A53" s="6" t="s">
        <v>173</v>
      </c>
      <c r="B53" s="6"/>
      <c r="C53" s="7" t="s">
        <v>50</v>
      </c>
      <c r="D53" s="8" t="s">
        <v>170</v>
      </c>
      <c r="E53" s="8">
        <f>COUNTIF(Questions!D:D,D53)</f>
        <v>2</v>
      </c>
      <c r="F53" s="8" t="s">
        <v>174</v>
      </c>
      <c r="G53" s="8" t="s">
        <v>50</v>
      </c>
      <c r="H53" s="8" t="s">
        <v>172</v>
      </c>
      <c r="I53" s="8">
        <f>COUNTIF(Questions!H:H,H53)</f>
        <v>2</v>
      </c>
      <c r="J53" s="7"/>
    </row>
    <row r="54" spans="1:10" ht="22" customHeight="1" x14ac:dyDescent="0.35">
      <c r="A54" s="28" t="s">
        <v>175</v>
      </c>
      <c r="B54" s="28"/>
      <c r="C54" s="29" t="s">
        <v>176</v>
      </c>
      <c r="D54" s="30" t="s">
        <v>177</v>
      </c>
      <c r="E54" s="30">
        <f>COUNTIF(Questions!D:D,D54)</f>
        <v>2</v>
      </c>
      <c r="F54" s="30" t="s">
        <v>178</v>
      </c>
      <c r="G54" s="30" t="s">
        <v>179</v>
      </c>
      <c r="H54" s="30" t="s">
        <v>180</v>
      </c>
      <c r="I54" s="30">
        <f>COUNTIF(Questions!H:H,H54)</f>
        <v>2</v>
      </c>
      <c r="J54" s="29"/>
    </row>
    <row r="55" spans="1:10" ht="22" customHeight="1" x14ac:dyDescent="0.35">
      <c r="A55" s="28" t="s">
        <v>181</v>
      </c>
      <c r="B55" s="28"/>
      <c r="C55" s="29" t="s">
        <v>176</v>
      </c>
      <c r="D55" s="30" t="s">
        <v>177</v>
      </c>
      <c r="E55" s="30">
        <f>COUNTIF(Questions!D:D,D55)</f>
        <v>2</v>
      </c>
      <c r="F55" s="30" t="s">
        <v>182</v>
      </c>
      <c r="G55" s="30" t="s">
        <v>179</v>
      </c>
      <c r="H55" s="30" t="s">
        <v>180</v>
      </c>
      <c r="I55" s="30">
        <f>COUNTIF(Questions!H:H,H55)</f>
        <v>2</v>
      </c>
      <c r="J55" s="29"/>
    </row>
    <row r="56" spans="1:10" ht="22" customHeight="1" x14ac:dyDescent="0.35">
      <c r="A56" s="28" t="s">
        <v>183</v>
      </c>
      <c r="B56" s="28"/>
      <c r="C56" s="29" t="s">
        <v>176</v>
      </c>
      <c r="D56" s="30" t="s">
        <v>184</v>
      </c>
      <c r="E56" s="30">
        <f>COUNTIF(Questions!D:D,D56)</f>
        <v>2</v>
      </c>
      <c r="F56" s="30" t="s">
        <v>185</v>
      </c>
      <c r="G56" s="30" t="s">
        <v>179</v>
      </c>
      <c r="H56" s="30" t="s">
        <v>186</v>
      </c>
      <c r="I56" s="30">
        <f>COUNTIF(Questions!H:H,H56)</f>
        <v>2</v>
      </c>
      <c r="J56" s="29"/>
    </row>
    <row r="57" spans="1:10" ht="22" customHeight="1" x14ac:dyDescent="0.35">
      <c r="A57" s="28" t="s">
        <v>187</v>
      </c>
      <c r="B57" s="28"/>
      <c r="C57" s="29" t="s">
        <v>176</v>
      </c>
      <c r="D57" s="30" t="s">
        <v>184</v>
      </c>
      <c r="E57" s="30">
        <f>COUNTIF(Questions!D:D,D57)</f>
        <v>2</v>
      </c>
      <c r="F57" s="30" t="s">
        <v>188</v>
      </c>
      <c r="G57" s="30" t="s">
        <v>179</v>
      </c>
      <c r="H57" s="30" t="s">
        <v>186</v>
      </c>
      <c r="I57" s="30">
        <f>COUNTIF(Questions!H:H,H57)</f>
        <v>2</v>
      </c>
      <c r="J57" s="29"/>
    </row>
    <row r="58" spans="1:10" ht="22" customHeight="1" x14ac:dyDescent="0.35">
      <c r="A58" s="16" t="s">
        <v>189</v>
      </c>
      <c r="B58" s="16"/>
      <c r="C58" s="17" t="s">
        <v>190</v>
      </c>
      <c r="D58" s="18" t="s">
        <v>191</v>
      </c>
      <c r="E58" s="18">
        <f>COUNTIF(Questions!D:D,D58)</f>
        <v>2</v>
      </c>
      <c r="F58" s="18" t="s">
        <v>192</v>
      </c>
      <c r="G58" s="18" t="s">
        <v>2126</v>
      </c>
      <c r="H58" s="18" t="s">
        <v>193</v>
      </c>
      <c r="I58" s="18">
        <f>COUNTIF(Questions!H:H,H58)</f>
        <v>2</v>
      </c>
      <c r="J58" s="17"/>
    </row>
    <row r="59" spans="1:10" ht="22" customHeight="1" x14ac:dyDescent="0.35">
      <c r="A59" s="16" t="s">
        <v>194</v>
      </c>
      <c r="B59" s="16"/>
      <c r="C59" s="17" t="s">
        <v>190</v>
      </c>
      <c r="D59" s="18" t="s">
        <v>191</v>
      </c>
      <c r="E59" s="18">
        <f>COUNTIF(Questions!D:D,D59)</f>
        <v>2</v>
      </c>
      <c r="F59" s="18" t="s">
        <v>195</v>
      </c>
      <c r="G59" s="18" t="s">
        <v>2126</v>
      </c>
      <c r="H59" s="18" t="s">
        <v>193</v>
      </c>
      <c r="I59" s="18">
        <f>COUNTIF(Questions!H:H,H59)</f>
        <v>2</v>
      </c>
      <c r="J59" s="17"/>
    </row>
    <row r="60" spans="1:10" ht="22" customHeight="1" x14ac:dyDescent="0.35">
      <c r="A60" s="43" t="s">
        <v>196</v>
      </c>
      <c r="B60" s="43"/>
      <c r="C60" s="44" t="s">
        <v>8</v>
      </c>
      <c r="D60" s="45" t="s">
        <v>197</v>
      </c>
      <c r="E60" s="45">
        <f>COUNTIF(Questions!D:D,D60)</f>
        <v>2</v>
      </c>
      <c r="F60" s="45" t="s">
        <v>198</v>
      </c>
      <c r="G60" s="45" t="s">
        <v>11</v>
      </c>
      <c r="H60" s="45" t="s">
        <v>199</v>
      </c>
      <c r="I60" s="45">
        <f>COUNTIF(Questions!H:H,H60)</f>
        <v>2</v>
      </c>
      <c r="J60" s="44"/>
    </row>
    <row r="61" spans="1:10" ht="22" customHeight="1" x14ac:dyDescent="0.35">
      <c r="A61" s="43" t="s">
        <v>200</v>
      </c>
      <c r="B61" s="43"/>
      <c r="C61" s="44" t="s">
        <v>8</v>
      </c>
      <c r="D61" s="45" t="s">
        <v>197</v>
      </c>
      <c r="E61" s="45">
        <f>COUNTIF(Questions!D:D,D61)</f>
        <v>2</v>
      </c>
      <c r="F61" s="45" t="s">
        <v>201</v>
      </c>
      <c r="G61" s="45" t="s">
        <v>11</v>
      </c>
      <c r="H61" s="45" t="s">
        <v>199</v>
      </c>
      <c r="I61" s="45">
        <f>COUNTIF(Questions!H:H,H61)</f>
        <v>2</v>
      </c>
      <c r="J61" s="44"/>
    </row>
    <row r="62" spans="1:10" ht="22" customHeight="1" x14ac:dyDescent="0.35">
      <c r="A62" s="52" t="s">
        <v>202</v>
      </c>
      <c r="B62" s="52"/>
      <c r="C62" s="53" t="s">
        <v>92</v>
      </c>
      <c r="D62" s="54" t="s">
        <v>203</v>
      </c>
      <c r="E62" s="54">
        <f>COUNTIF(Questions!D:D,D62)</f>
        <v>2</v>
      </c>
      <c r="F62" s="54" t="s">
        <v>204</v>
      </c>
      <c r="G62" s="54" t="s">
        <v>2125</v>
      </c>
      <c r="H62" s="54" t="s">
        <v>205</v>
      </c>
      <c r="I62" s="54">
        <f>COUNTIF(Questions!H:H,H62)</f>
        <v>2</v>
      </c>
      <c r="J62" s="53"/>
    </row>
    <row r="63" spans="1:10" ht="22" customHeight="1" x14ac:dyDescent="0.35">
      <c r="A63" s="52" t="s">
        <v>206</v>
      </c>
      <c r="B63" s="52"/>
      <c r="C63" s="53" t="s">
        <v>92</v>
      </c>
      <c r="D63" s="54" t="s">
        <v>203</v>
      </c>
      <c r="E63" s="54">
        <f>COUNTIF(Questions!D:D,D63)</f>
        <v>2</v>
      </c>
      <c r="F63" s="54" t="s">
        <v>207</v>
      </c>
      <c r="G63" s="54" t="s">
        <v>2125</v>
      </c>
      <c r="H63" s="54" t="s">
        <v>205</v>
      </c>
      <c r="I63" s="54">
        <f>COUNTIF(Questions!H:H,H63)</f>
        <v>2</v>
      </c>
      <c r="J63" s="53" t="s">
        <v>208</v>
      </c>
    </row>
    <row r="64" spans="1:10" ht="22" customHeight="1" x14ac:dyDescent="0.35">
      <c r="A64" s="43" t="s">
        <v>209</v>
      </c>
      <c r="B64" s="43"/>
      <c r="C64" s="44" t="s">
        <v>8</v>
      </c>
      <c r="D64" s="45" t="s">
        <v>210</v>
      </c>
      <c r="E64" s="45">
        <f>COUNTIF(Questions!D:D,D64)</f>
        <v>2</v>
      </c>
      <c r="F64" s="45" t="s">
        <v>211</v>
      </c>
      <c r="G64" s="45" t="s">
        <v>11</v>
      </c>
      <c r="H64" s="45" t="s">
        <v>212</v>
      </c>
      <c r="I64" s="45">
        <f>COUNTIF(Questions!H:H,H64)</f>
        <v>2</v>
      </c>
      <c r="J64" s="44"/>
    </row>
    <row r="65" spans="1:10" ht="22" customHeight="1" x14ac:dyDescent="0.35">
      <c r="A65" s="43" t="s">
        <v>213</v>
      </c>
      <c r="B65" s="43"/>
      <c r="C65" s="44" t="s">
        <v>8</v>
      </c>
      <c r="D65" s="45" t="s">
        <v>210</v>
      </c>
      <c r="E65" s="45">
        <f>COUNTIF(Questions!D:D,D65)</f>
        <v>2</v>
      </c>
      <c r="F65" s="45" t="s">
        <v>214</v>
      </c>
      <c r="G65" s="45" t="s">
        <v>11</v>
      </c>
      <c r="H65" s="45" t="s">
        <v>212</v>
      </c>
      <c r="I65" s="45">
        <f>COUNTIF(Questions!H:H,H65)</f>
        <v>2</v>
      </c>
      <c r="J65" s="44"/>
    </row>
    <row r="66" spans="1:10" ht="22" customHeight="1" x14ac:dyDescent="0.35">
      <c r="A66" s="25" t="s">
        <v>215</v>
      </c>
      <c r="B66" s="25"/>
      <c r="C66" s="26" t="s">
        <v>216</v>
      </c>
      <c r="D66" s="27" t="s">
        <v>217</v>
      </c>
      <c r="E66" s="27">
        <f>COUNTIF(Questions!D:D,D66)</f>
        <v>2</v>
      </c>
      <c r="F66" s="27" t="s">
        <v>218</v>
      </c>
      <c r="G66" s="27" t="s">
        <v>2124</v>
      </c>
      <c r="H66" s="27" t="s">
        <v>219</v>
      </c>
      <c r="I66" s="27">
        <f>COUNTIF(Questions!H:H,H66)</f>
        <v>2</v>
      </c>
      <c r="J66" s="26"/>
    </row>
    <row r="67" spans="1:10" ht="22" customHeight="1" x14ac:dyDescent="0.35">
      <c r="A67" s="25" t="s">
        <v>220</v>
      </c>
      <c r="B67" s="25"/>
      <c r="C67" s="26" t="s">
        <v>216</v>
      </c>
      <c r="D67" s="27" t="s">
        <v>217</v>
      </c>
      <c r="E67" s="27">
        <f>COUNTIF(Questions!D:D,D67)</f>
        <v>2</v>
      </c>
      <c r="F67" s="27" t="s">
        <v>221</v>
      </c>
      <c r="G67" s="27" t="s">
        <v>2124</v>
      </c>
      <c r="H67" s="27" t="s">
        <v>219</v>
      </c>
      <c r="I67" s="27">
        <f>COUNTIF(Questions!H:H,H67)</f>
        <v>2</v>
      </c>
      <c r="J67" s="26"/>
    </row>
    <row r="68" spans="1:10" ht="22" customHeight="1" x14ac:dyDescent="0.35">
      <c r="A68" s="25" t="s">
        <v>222</v>
      </c>
      <c r="B68" s="25"/>
      <c r="C68" s="26" t="s">
        <v>16</v>
      </c>
      <c r="D68" s="27" t="s">
        <v>223</v>
      </c>
      <c r="E68" s="27">
        <f>COUNTIF(Questions!D:D,D68)</f>
        <v>2</v>
      </c>
      <c r="F68" s="27" t="s">
        <v>224</v>
      </c>
      <c r="G68" s="27" t="s">
        <v>19</v>
      </c>
      <c r="H68" s="27" t="s">
        <v>225</v>
      </c>
      <c r="I68" s="27">
        <f>COUNTIF(Questions!H:H,H68)</f>
        <v>2</v>
      </c>
      <c r="J68" s="26"/>
    </row>
    <row r="69" spans="1:10" ht="22" customHeight="1" x14ac:dyDescent="0.35">
      <c r="A69" s="25" t="s">
        <v>226</v>
      </c>
      <c r="B69" s="25"/>
      <c r="C69" s="26" t="s">
        <v>16</v>
      </c>
      <c r="D69" s="27" t="s">
        <v>223</v>
      </c>
      <c r="E69" s="27">
        <f>COUNTIF(Questions!D:D,D69)</f>
        <v>2</v>
      </c>
      <c r="F69" s="27" t="s">
        <v>227</v>
      </c>
      <c r="G69" s="27" t="s">
        <v>19</v>
      </c>
      <c r="H69" s="27" t="s">
        <v>225</v>
      </c>
      <c r="I69" s="27">
        <f>COUNTIF(Questions!H:H,H69)</f>
        <v>2</v>
      </c>
      <c r="J69" s="26"/>
    </row>
    <row r="70" spans="1:10" ht="22" customHeight="1" x14ac:dyDescent="0.35">
      <c r="A70" s="25" t="s">
        <v>228</v>
      </c>
      <c r="B70" s="25"/>
      <c r="C70" s="26" t="s">
        <v>216</v>
      </c>
      <c r="D70" s="27" t="s">
        <v>229</v>
      </c>
      <c r="E70" s="27">
        <f>COUNTIF(Questions!D:D,D70)</f>
        <v>2</v>
      </c>
      <c r="F70" s="27" t="s">
        <v>230</v>
      </c>
      <c r="G70" s="27" t="s">
        <v>2124</v>
      </c>
      <c r="H70" s="27" t="s">
        <v>231</v>
      </c>
      <c r="I70" s="27">
        <f>COUNTIF(Questions!H:H,H70)</f>
        <v>2</v>
      </c>
      <c r="J70" s="26"/>
    </row>
    <row r="71" spans="1:10" ht="22" customHeight="1" x14ac:dyDescent="0.35">
      <c r="A71" s="25" t="s">
        <v>232</v>
      </c>
      <c r="B71" s="25"/>
      <c r="C71" s="26" t="s">
        <v>216</v>
      </c>
      <c r="D71" s="27" t="s">
        <v>229</v>
      </c>
      <c r="E71" s="27">
        <f>COUNTIF(Questions!D:D,D71)</f>
        <v>2</v>
      </c>
      <c r="F71" s="27" t="s">
        <v>233</v>
      </c>
      <c r="G71" s="27" t="s">
        <v>2124</v>
      </c>
      <c r="H71" s="27" t="s">
        <v>231</v>
      </c>
      <c r="I71" s="27">
        <f>COUNTIF(Questions!H:H,H71)</f>
        <v>2</v>
      </c>
      <c r="J71" s="26"/>
    </row>
    <row r="72" spans="1:10" ht="22" customHeight="1" x14ac:dyDescent="0.35">
      <c r="A72" s="22" t="s">
        <v>234</v>
      </c>
      <c r="B72" s="22"/>
      <c r="C72" s="23" t="s">
        <v>16</v>
      </c>
      <c r="D72" s="24" t="s">
        <v>235</v>
      </c>
      <c r="E72" s="24">
        <f>COUNTIF(Questions!D:D,D72)</f>
        <v>2</v>
      </c>
      <c r="F72" s="24" t="s">
        <v>236</v>
      </c>
      <c r="G72" s="24" t="s">
        <v>19</v>
      </c>
      <c r="H72" s="24" t="s">
        <v>237</v>
      </c>
      <c r="I72" s="24">
        <f>COUNTIF(Questions!H:H,H72)</f>
        <v>2</v>
      </c>
      <c r="J72" s="23" t="s">
        <v>238</v>
      </c>
    </row>
    <row r="73" spans="1:10" ht="22" customHeight="1" x14ac:dyDescent="0.35">
      <c r="A73" s="22" t="s">
        <v>239</v>
      </c>
      <c r="B73" s="22"/>
      <c r="C73" s="23" t="s">
        <v>16</v>
      </c>
      <c r="D73" s="24" t="s">
        <v>235</v>
      </c>
      <c r="E73" s="24">
        <f>COUNTIF(Questions!D:D,D73)</f>
        <v>2</v>
      </c>
      <c r="F73" s="24" t="s">
        <v>240</v>
      </c>
      <c r="G73" s="24" t="s">
        <v>19</v>
      </c>
      <c r="H73" s="24" t="s">
        <v>237</v>
      </c>
      <c r="I73" s="24">
        <f>COUNTIF(Questions!H:H,H73)</f>
        <v>2</v>
      </c>
      <c r="J73" s="23"/>
    </row>
    <row r="74" spans="1:10" ht="22" customHeight="1" x14ac:dyDescent="0.35">
      <c r="A74" s="37" t="s">
        <v>241</v>
      </c>
      <c r="B74" s="37"/>
      <c r="C74" s="38" t="s">
        <v>57</v>
      </c>
      <c r="D74" s="39" t="s">
        <v>242</v>
      </c>
      <c r="E74" s="39">
        <f>COUNTIF(Questions!D:D,D74)</f>
        <v>2</v>
      </c>
      <c r="F74" s="39" t="s">
        <v>243</v>
      </c>
      <c r="G74" s="39" t="s">
        <v>2121</v>
      </c>
      <c r="H74" s="39" t="s">
        <v>244</v>
      </c>
      <c r="I74" s="39">
        <f>COUNTIF(Questions!H:H,H74)</f>
        <v>2</v>
      </c>
      <c r="J74" s="38"/>
    </row>
    <row r="75" spans="1:10" ht="22" customHeight="1" x14ac:dyDescent="0.35">
      <c r="A75" s="37" t="s">
        <v>245</v>
      </c>
      <c r="B75" s="37"/>
      <c r="C75" s="38" t="s">
        <v>57</v>
      </c>
      <c r="D75" s="39" t="s">
        <v>242</v>
      </c>
      <c r="E75" s="39">
        <f>COUNTIF(Questions!D:D,D75)</f>
        <v>2</v>
      </c>
      <c r="F75" s="39" t="s">
        <v>246</v>
      </c>
      <c r="G75" s="39" t="s">
        <v>2121</v>
      </c>
      <c r="H75" s="39" t="s">
        <v>244</v>
      </c>
      <c r="I75" s="39">
        <f>COUNTIF(Questions!H:H,H75)</f>
        <v>2</v>
      </c>
      <c r="J75" s="38"/>
    </row>
    <row r="76" spans="1:10" ht="22" customHeight="1" x14ac:dyDescent="0.35">
      <c r="A76" s="46" t="s">
        <v>247</v>
      </c>
      <c r="B76" s="46"/>
      <c r="C76" s="47" t="s">
        <v>24</v>
      </c>
      <c r="D76" s="48" t="s">
        <v>248</v>
      </c>
      <c r="E76" s="48">
        <f>COUNTIF(Questions!D:D,D76)</f>
        <v>2</v>
      </c>
      <c r="F76" s="48" t="s">
        <v>249</v>
      </c>
      <c r="G76" s="48" t="s">
        <v>27</v>
      </c>
      <c r="H76" s="48" t="s">
        <v>250</v>
      </c>
      <c r="I76" s="48">
        <f>COUNTIF(Questions!H:H,H76)</f>
        <v>2</v>
      </c>
      <c r="J76" s="47"/>
    </row>
    <row r="77" spans="1:10" ht="22" customHeight="1" x14ac:dyDescent="0.35">
      <c r="A77" s="46" t="s">
        <v>251</v>
      </c>
      <c r="B77" s="46"/>
      <c r="C77" s="47" t="s">
        <v>24</v>
      </c>
      <c r="D77" s="48" t="s">
        <v>248</v>
      </c>
      <c r="E77" s="48">
        <f>COUNTIF(Questions!D:D,D77)</f>
        <v>2</v>
      </c>
      <c r="F77" s="48" t="s">
        <v>252</v>
      </c>
      <c r="G77" s="48" t="s">
        <v>27</v>
      </c>
      <c r="H77" s="48" t="s">
        <v>250</v>
      </c>
      <c r="I77" s="48">
        <f>COUNTIF(Questions!H:H,H77)</f>
        <v>2</v>
      </c>
      <c r="J77" s="47"/>
    </row>
    <row r="78" spans="1:10" ht="22" customHeight="1" x14ac:dyDescent="0.35">
      <c r="A78" s="25" t="s">
        <v>253</v>
      </c>
      <c r="B78" s="25"/>
      <c r="C78" s="26" t="s">
        <v>216</v>
      </c>
      <c r="D78" s="27" t="s">
        <v>254</v>
      </c>
      <c r="E78" s="27">
        <f>COUNTIF(Questions!D:D,D78)</f>
        <v>2</v>
      </c>
      <c r="F78" s="27" t="s">
        <v>255</v>
      </c>
      <c r="G78" s="27" t="s">
        <v>2124</v>
      </c>
      <c r="H78" s="27" t="s">
        <v>256</v>
      </c>
      <c r="I78" s="27">
        <f>COUNTIF(Questions!H:H,H78)</f>
        <v>2</v>
      </c>
      <c r="J78" s="26"/>
    </row>
    <row r="79" spans="1:10" ht="22" customHeight="1" x14ac:dyDescent="0.35">
      <c r="A79" s="25" t="s">
        <v>257</v>
      </c>
      <c r="B79" s="25"/>
      <c r="C79" s="26" t="s">
        <v>216</v>
      </c>
      <c r="D79" s="27" t="s">
        <v>254</v>
      </c>
      <c r="E79" s="27">
        <f>COUNTIF(Questions!D:D,D79)</f>
        <v>2</v>
      </c>
      <c r="F79" s="27" t="s">
        <v>258</v>
      </c>
      <c r="G79" s="27" t="s">
        <v>2124</v>
      </c>
      <c r="H79" s="27" t="s">
        <v>256</v>
      </c>
      <c r="I79" s="27">
        <f>COUNTIF(Questions!H:H,H79)</f>
        <v>2</v>
      </c>
      <c r="J79" s="26"/>
    </row>
    <row r="80" spans="1:10" ht="22" customHeight="1" x14ac:dyDescent="0.35">
      <c r="A80" s="31" t="s">
        <v>259</v>
      </c>
      <c r="B80" s="31"/>
      <c r="C80" s="32" t="s">
        <v>176</v>
      </c>
      <c r="D80" s="33" t="s">
        <v>260</v>
      </c>
      <c r="E80" s="33">
        <f>COUNTIF(Questions!D:D,D80)</f>
        <v>2</v>
      </c>
      <c r="F80" s="33" t="s">
        <v>261</v>
      </c>
      <c r="G80" s="33" t="s">
        <v>179</v>
      </c>
      <c r="H80" s="33" t="s">
        <v>262</v>
      </c>
      <c r="I80" s="33">
        <f>COUNTIF(Questions!H:H,H80)</f>
        <v>2</v>
      </c>
      <c r="J80" s="32"/>
    </row>
    <row r="81" spans="1:10" ht="22" customHeight="1" x14ac:dyDescent="0.35">
      <c r="A81" s="31" t="s">
        <v>263</v>
      </c>
      <c r="B81" s="31"/>
      <c r="C81" s="32" t="s">
        <v>176</v>
      </c>
      <c r="D81" s="33" t="s">
        <v>260</v>
      </c>
      <c r="E81" s="33">
        <f>COUNTIF(Questions!D:D,D81)</f>
        <v>2</v>
      </c>
      <c r="F81" s="33" t="s">
        <v>264</v>
      </c>
      <c r="G81" s="33" t="s">
        <v>179</v>
      </c>
      <c r="H81" s="33" t="s">
        <v>262</v>
      </c>
      <c r="I81" s="33">
        <f>COUNTIF(Questions!H:H,H81)</f>
        <v>2</v>
      </c>
      <c r="J81" s="32"/>
    </row>
    <row r="82" spans="1:10" ht="22" customHeight="1" x14ac:dyDescent="0.35">
      <c r="A82" s="25" t="s">
        <v>265</v>
      </c>
      <c r="B82" s="25"/>
      <c r="C82" s="26" t="s">
        <v>16</v>
      </c>
      <c r="D82" s="27" t="s">
        <v>266</v>
      </c>
      <c r="E82" s="27">
        <f>COUNTIF(Questions!D:D,D82)</f>
        <v>2</v>
      </c>
      <c r="F82" s="27" t="s">
        <v>267</v>
      </c>
      <c r="G82" s="27" t="s">
        <v>19</v>
      </c>
      <c r="H82" s="27" t="s">
        <v>268</v>
      </c>
      <c r="I82" s="27">
        <f>COUNTIF(Questions!H:H,H82)</f>
        <v>2</v>
      </c>
      <c r="J82" s="26"/>
    </row>
    <row r="83" spans="1:10" ht="22" customHeight="1" x14ac:dyDescent="0.35">
      <c r="A83" s="25" t="s">
        <v>269</v>
      </c>
      <c r="B83" s="25"/>
      <c r="C83" s="26" t="s">
        <v>16</v>
      </c>
      <c r="D83" s="27" t="s">
        <v>266</v>
      </c>
      <c r="E83" s="27">
        <f>COUNTIF(Questions!D:D,D83)</f>
        <v>2</v>
      </c>
      <c r="F83" s="27" t="s">
        <v>270</v>
      </c>
      <c r="G83" s="27" t="s">
        <v>19</v>
      </c>
      <c r="H83" s="27" t="s">
        <v>268</v>
      </c>
      <c r="I83" s="27">
        <f>COUNTIF(Questions!H:H,H83)</f>
        <v>2</v>
      </c>
      <c r="J83" s="26"/>
    </row>
    <row r="84" spans="1:10" ht="22" customHeight="1" x14ac:dyDescent="0.35">
      <c r="A84" s="34" t="s">
        <v>271</v>
      </c>
      <c r="B84" s="34"/>
      <c r="C84" s="35" t="s">
        <v>64</v>
      </c>
      <c r="D84" s="36" t="s">
        <v>272</v>
      </c>
      <c r="E84" s="36">
        <f>COUNTIF(Questions!D:D,D84)</f>
        <v>2</v>
      </c>
      <c r="F84" s="36" t="s">
        <v>273</v>
      </c>
      <c r="G84" s="36" t="s">
        <v>67</v>
      </c>
      <c r="H84" s="36" t="s">
        <v>274</v>
      </c>
      <c r="I84" s="36">
        <f>COUNTIF(Questions!H:H,H84)</f>
        <v>2</v>
      </c>
      <c r="J84" s="35"/>
    </row>
    <row r="85" spans="1:10" ht="22" customHeight="1" x14ac:dyDescent="0.35">
      <c r="A85" s="34" t="s">
        <v>275</v>
      </c>
      <c r="B85" s="34"/>
      <c r="C85" s="35" t="s">
        <v>64</v>
      </c>
      <c r="D85" s="36" t="s">
        <v>272</v>
      </c>
      <c r="E85" s="36">
        <f>COUNTIF(Questions!D:D,D85)</f>
        <v>2</v>
      </c>
      <c r="F85" s="36" t="s">
        <v>276</v>
      </c>
      <c r="G85" s="36" t="s">
        <v>67</v>
      </c>
      <c r="H85" s="36" t="s">
        <v>274</v>
      </c>
      <c r="I85" s="36">
        <f>COUNTIF(Questions!H:H,H85)</f>
        <v>2</v>
      </c>
      <c r="J85" s="35"/>
    </row>
    <row r="86" spans="1:10" ht="22" customHeight="1" x14ac:dyDescent="0.35">
      <c r="A86" s="34" t="s">
        <v>277</v>
      </c>
      <c r="B86" s="34"/>
      <c r="C86" s="35" t="s">
        <v>64</v>
      </c>
      <c r="D86" s="36" t="s">
        <v>278</v>
      </c>
      <c r="E86" s="36">
        <f>COUNTIF(Questions!D:D,D86)</f>
        <v>2</v>
      </c>
      <c r="F86" s="36" t="s">
        <v>279</v>
      </c>
      <c r="G86" s="36" t="s">
        <v>67</v>
      </c>
      <c r="H86" s="36" t="s">
        <v>280</v>
      </c>
      <c r="I86" s="36">
        <f>COUNTIF(Questions!H:H,H86)</f>
        <v>2</v>
      </c>
      <c r="J86" s="35"/>
    </row>
    <row r="87" spans="1:10" ht="22" customHeight="1" x14ac:dyDescent="0.35">
      <c r="A87" s="34" t="s">
        <v>281</v>
      </c>
      <c r="B87" s="34"/>
      <c r="C87" s="35" t="s">
        <v>64</v>
      </c>
      <c r="D87" s="36" t="s">
        <v>278</v>
      </c>
      <c r="E87" s="36">
        <f>COUNTIF(Questions!D:D,D87)</f>
        <v>2</v>
      </c>
      <c r="F87" s="36" t="s">
        <v>282</v>
      </c>
      <c r="G87" s="36" t="s">
        <v>67</v>
      </c>
      <c r="H87" s="36" t="s">
        <v>280</v>
      </c>
      <c r="I87" s="36">
        <f>COUNTIF(Questions!H:H,H87)</f>
        <v>2</v>
      </c>
      <c r="J87" s="35"/>
    </row>
    <row r="88" spans="1:10" ht="22" customHeight="1" x14ac:dyDescent="0.35">
      <c r="A88" s="28" t="s">
        <v>283</v>
      </c>
      <c r="B88" s="28"/>
      <c r="C88" s="29" t="s">
        <v>216</v>
      </c>
      <c r="D88" s="30" t="s">
        <v>284</v>
      </c>
      <c r="E88" s="30">
        <f>COUNTIF(Questions!D:D,D88)</f>
        <v>2</v>
      </c>
      <c r="F88" s="30" t="s">
        <v>285</v>
      </c>
      <c r="G88" s="30" t="s">
        <v>2124</v>
      </c>
      <c r="H88" s="30" t="s">
        <v>286</v>
      </c>
      <c r="I88" s="30">
        <f>COUNTIF(Questions!H:H,H88)</f>
        <v>2</v>
      </c>
      <c r="J88" s="29"/>
    </row>
    <row r="89" spans="1:10" ht="22" customHeight="1" x14ac:dyDescent="0.35">
      <c r="A89" s="28" t="s">
        <v>287</v>
      </c>
      <c r="B89" s="28"/>
      <c r="C89" s="29" t="s">
        <v>216</v>
      </c>
      <c r="D89" s="30" t="s">
        <v>284</v>
      </c>
      <c r="E89" s="30">
        <f>COUNTIF(Questions!D:D,D89)</f>
        <v>2</v>
      </c>
      <c r="F89" s="30" t="s">
        <v>288</v>
      </c>
      <c r="G89" s="30" t="s">
        <v>2124</v>
      </c>
      <c r="H89" s="30" t="s">
        <v>286</v>
      </c>
      <c r="I89" s="30">
        <f>COUNTIF(Questions!H:H,H89)</f>
        <v>2</v>
      </c>
      <c r="J89" s="29"/>
    </row>
    <row r="90" spans="1:10" ht="22" customHeight="1" x14ac:dyDescent="0.35">
      <c r="A90" s="19" t="s">
        <v>289</v>
      </c>
      <c r="B90" s="19"/>
      <c r="C90" s="20" t="s">
        <v>64</v>
      </c>
      <c r="D90" s="21" t="s">
        <v>290</v>
      </c>
      <c r="E90" s="21">
        <f>COUNTIF(Questions!D:D,D90)</f>
        <v>2</v>
      </c>
      <c r="F90" s="21" t="s">
        <v>291</v>
      </c>
      <c r="G90" s="21" t="s">
        <v>67</v>
      </c>
      <c r="H90" s="21" t="s">
        <v>292</v>
      </c>
      <c r="I90" s="21">
        <f>COUNTIF(Questions!H:H,H90)</f>
        <v>2</v>
      </c>
      <c r="J90" s="20"/>
    </row>
    <row r="91" spans="1:10" ht="22" customHeight="1" x14ac:dyDescent="0.35">
      <c r="A91" s="19" t="s">
        <v>293</v>
      </c>
      <c r="B91" s="19"/>
      <c r="C91" s="20" t="s">
        <v>64</v>
      </c>
      <c r="D91" s="21" t="s">
        <v>290</v>
      </c>
      <c r="E91" s="21">
        <f>COUNTIF(Questions!D:D,D91)</f>
        <v>2</v>
      </c>
      <c r="F91" s="21" t="s">
        <v>294</v>
      </c>
      <c r="G91" s="21" t="s">
        <v>67</v>
      </c>
      <c r="H91" s="21" t="s">
        <v>292</v>
      </c>
      <c r="I91" s="21">
        <f>COUNTIF(Questions!H:H,H91)</f>
        <v>2</v>
      </c>
      <c r="J91" s="20"/>
    </row>
    <row r="92" spans="1:10" ht="22" customHeight="1" x14ac:dyDescent="0.35">
      <c r="A92" s="40" t="s">
        <v>295</v>
      </c>
      <c r="B92" s="40"/>
      <c r="C92" s="41" t="s">
        <v>216</v>
      </c>
      <c r="D92" s="42" t="s">
        <v>296</v>
      </c>
      <c r="E92" s="42">
        <f>COUNTIF(Questions!D:D,D92)</f>
        <v>2</v>
      </c>
      <c r="F92" s="42" t="s">
        <v>297</v>
      </c>
      <c r="G92" s="42" t="s">
        <v>2124</v>
      </c>
      <c r="H92" s="42" t="s">
        <v>298</v>
      </c>
      <c r="I92" s="42">
        <f>COUNTIF(Questions!H:H,H92)</f>
        <v>2</v>
      </c>
      <c r="J92" s="41"/>
    </row>
    <row r="93" spans="1:10" ht="22" customHeight="1" x14ac:dyDescent="0.35">
      <c r="A93" s="40" t="s">
        <v>299</v>
      </c>
      <c r="B93" s="40"/>
      <c r="C93" s="41" t="s">
        <v>216</v>
      </c>
      <c r="D93" s="42" t="s">
        <v>296</v>
      </c>
      <c r="E93" s="42">
        <f>COUNTIF(Questions!D:D,D93)</f>
        <v>2</v>
      </c>
      <c r="F93" s="42" t="s">
        <v>300</v>
      </c>
      <c r="G93" s="42" t="s">
        <v>2124</v>
      </c>
      <c r="H93" s="42" t="s">
        <v>298</v>
      </c>
      <c r="I93" s="42">
        <f>COUNTIF(Questions!H:H,H93)</f>
        <v>2</v>
      </c>
      <c r="J93" s="41"/>
    </row>
    <row r="94" spans="1:10" ht="22" customHeight="1" x14ac:dyDescent="0.35">
      <c r="A94" s="37" t="s">
        <v>301</v>
      </c>
      <c r="B94" s="37"/>
      <c r="C94" s="38" t="s">
        <v>57</v>
      </c>
      <c r="D94" s="39" t="s">
        <v>302</v>
      </c>
      <c r="E94" s="39">
        <f>COUNTIF(Questions!D:D,D94)</f>
        <v>2</v>
      </c>
      <c r="F94" s="39" t="s">
        <v>303</v>
      </c>
      <c r="G94" s="39" t="s">
        <v>2121</v>
      </c>
      <c r="H94" s="39" t="s">
        <v>304</v>
      </c>
      <c r="I94" s="39">
        <f>COUNTIF(Questions!H:H,H94)</f>
        <v>2</v>
      </c>
      <c r="J94" s="38"/>
    </row>
    <row r="95" spans="1:10" ht="22" customHeight="1" x14ac:dyDescent="0.35">
      <c r="A95" s="37" t="s">
        <v>305</v>
      </c>
      <c r="B95" s="37"/>
      <c r="C95" s="38" t="s">
        <v>57</v>
      </c>
      <c r="D95" s="39" t="s">
        <v>302</v>
      </c>
      <c r="E95" s="39">
        <f>COUNTIF(Questions!D:D,D95)</f>
        <v>2</v>
      </c>
      <c r="F95" s="39" t="s">
        <v>306</v>
      </c>
      <c r="G95" s="39" t="s">
        <v>2121</v>
      </c>
      <c r="H95" s="39" t="s">
        <v>304</v>
      </c>
      <c r="I95" s="39">
        <f>COUNTIF(Questions!H:H,H95)</f>
        <v>2</v>
      </c>
      <c r="J95" s="38">
        <v>23</v>
      </c>
    </row>
    <row r="96" spans="1:10" ht="22" customHeight="1" x14ac:dyDescent="0.35">
      <c r="A96" s="43" t="s">
        <v>307</v>
      </c>
      <c r="B96" s="43"/>
      <c r="C96" s="44" t="s">
        <v>8</v>
      </c>
      <c r="D96" s="45" t="s">
        <v>308</v>
      </c>
      <c r="E96" s="45">
        <f>COUNTIF(Questions!D:D,D96)</f>
        <v>2</v>
      </c>
      <c r="F96" s="45" t="s">
        <v>309</v>
      </c>
      <c r="G96" s="45" t="s">
        <v>11</v>
      </c>
      <c r="H96" s="45" t="s">
        <v>310</v>
      </c>
      <c r="I96" s="45">
        <f>COUNTIF(Questions!H:H,H96)</f>
        <v>2</v>
      </c>
      <c r="J96" s="44"/>
    </row>
    <row r="97" spans="1:10" ht="22" customHeight="1" x14ac:dyDescent="0.35">
      <c r="A97" s="43" t="s">
        <v>311</v>
      </c>
      <c r="B97" s="43"/>
      <c r="C97" s="44" t="s">
        <v>8</v>
      </c>
      <c r="D97" s="45" t="s">
        <v>308</v>
      </c>
      <c r="E97" s="45">
        <f>COUNTIF(Questions!D:D,D97)</f>
        <v>2</v>
      </c>
      <c r="F97" s="45" t="s">
        <v>312</v>
      </c>
      <c r="G97" s="45" t="s">
        <v>11</v>
      </c>
      <c r="H97" s="45" t="s">
        <v>310</v>
      </c>
      <c r="I97" s="45">
        <f>COUNTIF(Questions!H:H,H97)</f>
        <v>2</v>
      </c>
      <c r="J97" s="44"/>
    </row>
    <row r="98" spans="1:10" ht="22" customHeight="1" x14ac:dyDescent="0.35">
      <c r="A98" s="37" t="s">
        <v>313</v>
      </c>
      <c r="B98" s="37"/>
      <c r="C98" s="38" t="s">
        <v>8</v>
      </c>
      <c r="D98" s="39" t="s">
        <v>314</v>
      </c>
      <c r="E98" s="39">
        <f>COUNTIF(Questions!D:D,D98)</f>
        <v>2</v>
      </c>
      <c r="F98" s="39" t="s">
        <v>315</v>
      </c>
      <c r="G98" s="39" t="s">
        <v>11</v>
      </c>
      <c r="H98" s="39" t="s">
        <v>316</v>
      </c>
      <c r="I98" s="39">
        <f>COUNTIF(Questions!H:H,H98)</f>
        <v>2</v>
      </c>
      <c r="J98" s="38"/>
    </row>
    <row r="99" spans="1:10" ht="22" customHeight="1" x14ac:dyDescent="0.35">
      <c r="A99" s="37" t="s">
        <v>317</v>
      </c>
      <c r="B99" s="37"/>
      <c r="C99" s="38" t="s">
        <v>8</v>
      </c>
      <c r="D99" s="39" t="s">
        <v>314</v>
      </c>
      <c r="E99" s="39">
        <f>COUNTIF(Questions!D:D,D99)</f>
        <v>2</v>
      </c>
      <c r="F99" s="39" t="s">
        <v>318</v>
      </c>
      <c r="G99" s="39" t="s">
        <v>11</v>
      </c>
      <c r="H99" s="39" t="s">
        <v>316</v>
      </c>
      <c r="I99" s="39">
        <f>COUNTIF(Questions!H:H,H99)</f>
        <v>2</v>
      </c>
      <c r="J99" s="38" t="s">
        <v>319</v>
      </c>
    </row>
    <row r="100" spans="1:10" ht="22" customHeight="1" x14ac:dyDescent="0.35">
      <c r="A100" s="40" t="s">
        <v>320</v>
      </c>
      <c r="B100" s="40"/>
      <c r="C100" s="41" t="s">
        <v>176</v>
      </c>
      <c r="D100" s="42" t="s">
        <v>321</v>
      </c>
      <c r="E100" s="42">
        <f>COUNTIF(Questions!D:D,D100)</f>
        <v>2</v>
      </c>
      <c r="F100" s="42" t="s">
        <v>322</v>
      </c>
      <c r="G100" s="42" t="s">
        <v>179</v>
      </c>
      <c r="H100" s="42" t="s">
        <v>323</v>
      </c>
      <c r="I100" s="42">
        <f>COUNTIF(Questions!H:H,H100)</f>
        <v>2</v>
      </c>
      <c r="J100" s="41"/>
    </row>
    <row r="101" spans="1:10" ht="22" customHeight="1" x14ac:dyDescent="0.35">
      <c r="A101" s="40" t="s">
        <v>324</v>
      </c>
      <c r="B101" s="40"/>
      <c r="C101" s="41" t="s">
        <v>176</v>
      </c>
      <c r="D101" s="42" t="s">
        <v>321</v>
      </c>
      <c r="E101" s="42">
        <f>COUNTIF(Questions!D:D,D101)</f>
        <v>2</v>
      </c>
      <c r="F101" s="42" t="s">
        <v>325</v>
      </c>
      <c r="G101" s="42" t="s">
        <v>179</v>
      </c>
      <c r="H101" s="42" t="s">
        <v>323</v>
      </c>
      <c r="I101" s="42">
        <f>COUNTIF(Questions!H:H,H101)</f>
        <v>2</v>
      </c>
      <c r="J101" s="41"/>
    </row>
    <row r="102" spans="1:10" ht="22" customHeight="1" x14ac:dyDescent="0.35">
      <c r="A102" s="40" t="s">
        <v>326</v>
      </c>
      <c r="B102" s="40"/>
      <c r="C102" s="41" t="s">
        <v>145</v>
      </c>
      <c r="D102" s="42" t="s">
        <v>327</v>
      </c>
      <c r="E102" s="42">
        <f>COUNTIF(Questions!D:D,D102)</f>
        <v>2</v>
      </c>
      <c r="F102" s="42" t="s">
        <v>328</v>
      </c>
      <c r="G102" s="42" t="s">
        <v>2127</v>
      </c>
      <c r="H102" s="42" t="s">
        <v>329</v>
      </c>
      <c r="I102" s="42">
        <f>COUNTIF(Questions!H:H,H102)</f>
        <v>2</v>
      </c>
      <c r="J102" s="41"/>
    </row>
    <row r="103" spans="1:10" ht="22" customHeight="1" x14ac:dyDescent="0.35">
      <c r="A103" s="40" t="s">
        <v>330</v>
      </c>
      <c r="B103" s="40"/>
      <c r="C103" s="41" t="s">
        <v>145</v>
      </c>
      <c r="D103" s="42" t="s">
        <v>327</v>
      </c>
      <c r="E103" s="42">
        <f>COUNTIF(Questions!D:D,D103)</f>
        <v>2</v>
      </c>
      <c r="F103" s="42" t="s">
        <v>331</v>
      </c>
      <c r="G103" s="42" t="s">
        <v>2127</v>
      </c>
      <c r="H103" s="42" t="s">
        <v>329</v>
      </c>
      <c r="I103" s="42">
        <f>COUNTIF(Questions!H:H,H103)</f>
        <v>2</v>
      </c>
      <c r="J103" s="41"/>
    </row>
    <row r="104" spans="1:10" ht="22" customHeight="1" x14ac:dyDescent="0.35">
      <c r="A104" s="52" t="s">
        <v>332</v>
      </c>
      <c r="B104" s="52"/>
      <c r="C104" s="53" t="s">
        <v>92</v>
      </c>
      <c r="D104" s="54" t="s">
        <v>333</v>
      </c>
      <c r="E104" s="54">
        <f>COUNTIF(Questions!D:D,D104)</f>
        <v>2</v>
      </c>
      <c r="F104" s="54" t="s">
        <v>334</v>
      </c>
      <c r="G104" s="54" t="s">
        <v>2125</v>
      </c>
      <c r="H104" s="54" t="s">
        <v>333</v>
      </c>
      <c r="I104" s="54">
        <f>COUNTIF(Questions!H:H,H104)</f>
        <v>2</v>
      </c>
      <c r="J104" s="53"/>
    </row>
    <row r="105" spans="1:10" ht="22" customHeight="1" x14ac:dyDescent="0.35">
      <c r="A105" s="52" t="s">
        <v>335</v>
      </c>
      <c r="B105" s="52"/>
      <c r="C105" s="53" t="s">
        <v>92</v>
      </c>
      <c r="D105" s="54" t="s">
        <v>333</v>
      </c>
      <c r="E105" s="54">
        <f>COUNTIF(Questions!D:D,D105)</f>
        <v>2</v>
      </c>
      <c r="F105" s="54" t="s">
        <v>336</v>
      </c>
      <c r="G105" s="54" t="s">
        <v>2125</v>
      </c>
      <c r="H105" s="54" t="s">
        <v>333</v>
      </c>
      <c r="I105" s="54">
        <f>COUNTIF(Questions!H:H,H105)</f>
        <v>2</v>
      </c>
      <c r="J105" s="53"/>
    </row>
    <row r="106" spans="1:10" ht="22" customHeight="1" x14ac:dyDescent="0.35">
      <c r="A106" s="16" t="s">
        <v>337</v>
      </c>
      <c r="B106" s="16"/>
      <c r="C106" s="17" t="s">
        <v>92</v>
      </c>
      <c r="D106" s="18" t="s">
        <v>338</v>
      </c>
      <c r="E106" s="18">
        <f>COUNTIF(Questions!D:D,D106)</f>
        <v>2</v>
      </c>
      <c r="F106" s="18" t="s">
        <v>339</v>
      </c>
      <c r="G106" s="18" t="s">
        <v>2125</v>
      </c>
      <c r="H106" s="18" t="s">
        <v>340</v>
      </c>
      <c r="I106" s="18">
        <f>COUNTIF(Questions!H:H,H106)</f>
        <v>2</v>
      </c>
      <c r="J106" s="17"/>
    </row>
    <row r="107" spans="1:10" ht="22" customHeight="1" x14ac:dyDescent="0.35">
      <c r="A107" s="16" t="s">
        <v>341</v>
      </c>
      <c r="B107" s="16"/>
      <c r="C107" s="17" t="s">
        <v>92</v>
      </c>
      <c r="D107" s="18" t="s">
        <v>338</v>
      </c>
      <c r="E107" s="18">
        <f>COUNTIF(Questions!D:D,D107)</f>
        <v>2</v>
      </c>
      <c r="F107" s="18" t="s">
        <v>342</v>
      </c>
      <c r="G107" s="18" t="s">
        <v>2125</v>
      </c>
      <c r="H107" s="18" t="s">
        <v>340</v>
      </c>
      <c r="I107" s="18">
        <f>COUNTIF(Questions!H:H,H107)</f>
        <v>2</v>
      </c>
      <c r="J107" s="17">
        <v>23</v>
      </c>
    </row>
    <row r="108" spans="1:10" ht="22" customHeight="1" x14ac:dyDescent="0.35">
      <c r="A108" s="34" t="s">
        <v>343</v>
      </c>
      <c r="B108" s="34"/>
      <c r="C108" s="35" t="s">
        <v>64</v>
      </c>
      <c r="D108" s="36" t="s">
        <v>344</v>
      </c>
      <c r="E108" s="36">
        <f>COUNTIF(Questions!D:D,D108)</f>
        <v>2</v>
      </c>
      <c r="F108" s="36" t="s">
        <v>345</v>
      </c>
      <c r="G108" s="36" t="s">
        <v>67</v>
      </c>
      <c r="H108" s="36" t="s">
        <v>346</v>
      </c>
      <c r="I108" s="36">
        <f>COUNTIF(Questions!H:H,H108)</f>
        <v>2</v>
      </c>
      <c r="J108" s="35"/>
    </row>
    <row r="109" spans="1:10" ht="22" customHeight="1" x14ac:dyDescent="0.35">
      <c r="A109" s="34" t="s">
        <v>347</v>
      </c>
      <c r="B109" s="34"/>
      <c r="C109" s="35" t="s">
        <v>64</v>
      </c>
      <c r="D109" s="36" t="s">
        <v>344</v>
      </c>
      <c r="E109" s="36">
        <f>COUNTIF(Questions!D:D,D109)</f>
        <v>2</v>
      </c>
      <c r="F109" s="36" t="s">
        <v>348</v>
      </c>
      <c r="G109" s="36" t="s">
        <v>67</v>
      </c>
      <c r="H109" s="36" t="s">
        <v>346</v>
      </c>
      <c r="I109" s="36">
        <f>COUNTIF(Questions!H:H,H109)</f>
        <v>2</v>
      </c>
      <c r="J109" s="35"/>
    </row>
    <row r="110" spans="1:10" ht="22" customHeight="1" x14ac:dyDescent="0.35">
      <c r="A110" s="40" t="s">
        <v>349</v>
      </c>
      <c r="B110" s="40"/>
      <c r="C110" s="41" t="s">
        <v>145</v>
      </c>
      <c r="D110" s="42" t="s">
        <v>350</v>
      </c>
      <c r="E110" s="42">
        <f>COUNTIF(Questions!D:D,D110)</f>
        <v>2</v>
      </c>
      <c r="F110" s="42" t="s">
        <v>351</v>
      </c>
      <c r="G110" s="42" t="s">
        <v>2127</v>
      </c>
      <c r="H110" s="42" t="s">
        <v>352</v>
      </c>
      <c r="I110" s="42">
        <f>COUNTIF(Questions!H:H,H110)</f>
        <v>2</v>
      </c>
      <c r="J110" s="41"/>
    </row>
    <row r="111" spans="1:10" ht="22" customHeight="1" x14ac:dyDescent="0.35">
      <c r="A111" s="40" t="s">
        <v>353</v>
      </c>
      <c r="B111" s="40"/>
      <c r="C111" s="41" t="s">
        <v>145</v>
      </c>
      <c r="D111" s="42" t="s">
        <v>350</v>
      </c>
      <c r="E111" s="42">
        <f>COUNTIF(Questions!D:D,D111)</f>
        <v>2</v>
      </c>
      <c r="F111" s="42" t="s">
        <v>354</v>
      </c>
      <c r="G111" s="42" t="s">
        <v>2127</v>
      </c>
      <c r="H111" s="42" t="s">
        <v>352</v>
      </c>
      <c r="I111" s="42">
        <f>COUNTIF(Questions!H:H,H111)</f>
        <v>2</v>
      </c>
      <c r="J111" s="41"/>
    </row>
    <row r="112" spans="1:10" ht="22" customHeight="1" x14ac:dyDescent="0.35">
      <c r="A112" s="28" t="s">
        <v>355</v>
      </c>
      <c r="B112" s="28"/>
      <c r="C112" s="29" t="s">
        <v>176</v>
      </c>
      <c r="D112" s="30" t="s">
        <v>356</v>
      </c>
      <c r="E112" s="30">
        <f>COUNTIF(Questions!D:D,D112)</f>
        <v>2</v>
      </c>
      <c r="F112" s="30" t="s">
        <v>357</v>
      </c>
      <c r="G112" s="30" t="s">
        <v>179</v>
      </c>
      <c r="H112" s="30" t="s">
        <v>358</v>
      </c>
      <c r="I112" s="30">
        <f>COUNTIF(Questions!H:H,H112)</f>
        <v>2</v>
      </c>
      <c r="J112" s="29"/>
    </row>
    <row r="113" spans="1:10" ht="22" customHeight="1" x14ac:dyDescent="0.35">
      <c r="A113" s="28" t="s">
        <v>359</v>
      </c>
      <c r="B113" s="28"/>
      <c r="C113" s="29" t="s">
        <v>176</v>
      </c>
      <c r="D113" s="30" t="s">
        <v>356</v>
      </c>
      <c r="E113" s="30">
        <f>COUNTIF(Questions!D:D,D113)</f>
        <v>2</v>
      </c>
      <c r="F113" s="30" t="s">
        <v>360</v>
      </c>
      <c r="G113" s="30" t="s">
        <v>179</v>
      </c>
      <c r="H113" s="30" t="s">
        <v>358</v>
      </c>
      <c r="I113" s="30">
        <f>COUNTIF(Questions!H:H,H113)</f>
        <v>2</v>
      </c>
      <c r="J113" s="29" t="s">
        <v>208</v>
      </c>
    </row>
    <row r="114" spans="1:10" ht="22" customHeight="1" x14ac:dyDescent="0.35">
      <c r="A114" s="16" t="s">
        <v>361</v>
      </c>
      <c r="B114" s="16"/>
      <c r="C114" s="17" t="s">
        <v>92</v>
      </c>
      <c r="D114" s="18" t="s">
        <v>362</v>
      </c>
      <c r="E114" s="18">
        <f>COUNTIF(Questions!D:D,D114)</f>
        <v>2</v>
      </c>
      <c r="F114" s="18" t="s">
        <v>363</v>
      </c>
      <c r="G114" s="18" t="s">
        <v>2125</v>
      </c>
      <c r="H114" s="18" t="s">
        <v>364</v>
      </c>
      <c r="I114" s="18">
        <f>COUNTIF(Questions!H:H,H114)</f>
        <v>2</v>
      </c>
      <c r="J114" s="17"/>
    </row>
    <row r="115" spans="1:10" ht="22" customHeight="1" x14ac:dyDescent="0.35">
      <c r="A115" s="16" t="s">
        <v>365</v>
      </c>
      <c r="B115" s="16"/>
      <c r="C115" s="17" t="s">
        <v>92</v>
      </c>
      <c r="D115" s="18" t="s">
        <v>362</v>
      </c>
      <c r="E115" s="18">
        <f>COUNTIF(Questions!D:D,D115)</f>
        <v>2</v>
      </c>
      <c r="F115" s="18" t="s">
        <v>366</v>
      </c>
      <c r="G115" s="18" t="s">
        <v>2125</v>
      </c>
      <c r="H115" s="18" t="s">
        <v>364</v>
      </c>
      <c r="I115" s="18">
        <f>COUNTIF(Questions!H:H,H115)</f>
        <v>2</v>
      </c>
      <c r="J115" s="17">
        <v>23</v>
      </c>
    </row>
    <row r="116" spans="1:10" ht="22" customHeight="1" x14ac:dyDescent="0.35">
      <c r="A116" s="46" t="s">
        <v>367</v>
      </c>
      <c r="B116" s="46"/>
      <c r="C116" s="47" t="s">
        <v>24</v>
      </c>
      <c r="D116" s="48" t="s">
        <v>368</v>
      </c>
      <c r="E116" s="48">
        <f>COUNTIF(Questions!D:D,D116)</f>
        <v>2</v>
      </c>
      <c r="F116" s="48" t="s">
        <v>369</v>
      </c>
      <c r="G116" s="48" t="s">
        <v>27</v>
      </c>
      <c r="H116" s="48" t="s">
        <v>370</v>
      </c>
      <c r="I116" s="48">
        <f>COUNTIF(Questions!H:H,H116)</f>
        <v>2</v>
      </c>
      <c r="J116" s="47"/>
    </row>
    <row r="117" spans="1:10" ht="22" customHeight="1" x14ac:dyDescent="0.35">
      <c r="A117" s="46" t="s">
        <v>371</v>
      </c>
      <c r="B117" s="46"/>
      <c r="C117" s="47" t="s">
        <v>24</v>
      </c>
      <c r="D117" s="48" t="s">
        <v>368</v>
      </c>
      <c r="E117" s="48">
        <f>COUNTIF(Questions!D:D,D117)</f>
        <v>2</v>
      </c>
      <c r="F117" s="48" t="s">
        <v>372</v>
      </c>
      <c r="G117" s="48" t="s">
        <v>27</v>
      </c>
      <c r="H117" s="48" t="s">
        <v>370</v>
      </c>
      <c r="I117" s="48">
        <f>COUNTIF(Questions!H:H,H117)</f>
        <v>2</v>
      </c>
      <c r="J117" s="47"/>
    </row>
    <row r="118" spans="1:10" ht="22" customHeight="1" x14ac:dyDescent="0.35">
      <c r="A118" s="37" t="s">
        <v>373</v>
      </c>
      <c r="B118" s="37"/>
      <c r="C118" s="38" t="s">
        <v>57</v>
      </c>
      <c r="D118" s="39" t="s">
        <v>374</v>
      </c>
      <c r="E118" s="39">
        <f>COUNTIF(Questions!D:D,D118)</f>
        <v>2</v>
      </c>
      <c r="F118" s="39" t="s">
        <v>375</v>
      </c>
      <c r="G118" s="39" t="s">
        <v>2121</v>
      </c>
      <c r="H118" s="39" t="s">
        <v>376</v>
      </c>
      <c r="I118" s="39">
        <f>COUNTIF(Questions!H:H,H118)</f>
        <v>2</v>
      </c>
      <c r="J118" s="38"/>
    </row>
    <row r="119" spans="1:10" ht="22" customHeight="1" x14ac:dyDescent="0.35">
      <c r="A119" s="37" t="s">
        <v>377</v>
      </c>
      <c r="B119" s="37"/>
      <c r="C119" s="38" t="s">
        <v>57</v>
      </c>
      <c r="D119" s="39" t="s">
        <v>374</v>
      </c>
      <c r="E119" s="39">
        <f>COUNTIF(Questions!D:D,D119)</f>
        <v>2</v>
      </c>
      <c r="F119" s="39" t="s">
        <v>378</v>
      </c>
      <c r="G119" s="39" t="s">
        <v>2121</v>
      </c>
      <c r="H119" s="39" t="s">
        <v>376</v>
      </c>
      <c r="I119" s="39">
        <f>COUNTIF(Questions!H:H,H119)</f>
        <v>2</v>
      </c>
      <c r="J119" s="38"/>
    </row>
    <row r="120" spans="1:10" ht="22" customHeight="1" x14ac:dyDescent="0.35">
      <c r="A120" s="40" t="s">
        <v>379</v>
      </c>
      <c r="B120" s="40"/>
      <c r="C120" s="41" t="s">
        <v>216</v>
      </c>
      <c r="D120" s="42" t="s">
        <v>380</v>
      </c>
      <c r="E120" s="42">
        <f>COUNTIF(Questions!D:D,D120)</f>
        <v>2</v>
      </c>
      <c r="F120" s="42" t="s">
        <v>381</v>
      </c>
      <c r="G120" s="42" t="s">
        <v>2124</v>
      </c>
      <c r="H120" s="42" t="s">
        <v>380</v>
      </c>
      <c r="I120" s="42">
        <f>COUNTIF(Questions!H:H,H120)</f>
        <v>2</v>
      </c>
      <c r="J120" s="41"/>
    </row>
    <row r="121" spans="1:10" ht="22" customHeight="1" x14ac:dyDescent="0.35">
      <c r="A121" s="40" t="s">
        <v>382</v>
      </c>
      <c r="B121" s="40"/>
      <c r="C121" s="41" t="s">
        <v>216</v>
      </c>
      <c r="D121" s="42" t="s">
        <v>380</v>
      </c>
      <c r="E121" s="42">
        <f>COUNTIF(Questions!D:D,D121)</f>
        <v>2</v>
      </c>
      <c r="F121" s="42" t="s">
        <v>383</v>
      </c>
      <c r="G121" s="42" t="s">
        <v>2124</v>
      </c>
      <c r="H121" s="42" t="s">
        <v>380</v>
      </c>
      <c r="I121" s="42">
        <f>COUNTIF(Questions!H:H,H121)</f>
        <v>2</v>
      </c>
      <c r="J121" s="41">
        <v>23</v>
      </c>
    </row>
    <row r="122" spans="1:10" ht="22" customHeight="1" x14ac:dyDescent="0.35">
      <c r="A122" s="40" t="s">
        <v>384</v>
      </c>
      <c r="B122" s="40"/>
      <c r="C122" s="41" t="s">
        <v>145</v>
      </c>
      <c r="D122" s="42" t="s">
        <v>385</v>
      </c>
      <c r="E122" s="42">
        <f>COUNTIF(Questions!D:D,D122)</f>
        <v>2</v>
      </c>
      <c r="F122" s="42" t="s">
        <v>386</v>
      </c>
      <c r="G122" s="42" t="s">
        <v>2127</v>
      </c>
      <c r="H122" s="42" t="s">
        <v>385</v>
      </c>
      <c r="I122" s="42">
        <f>COUNTIF(Questions!H:H,H122)</f>
        <v>2</v>
      </c>
      <c r="J122" s="41"/>
    </row>
    <row r="123" spans="1:10" ht="22" customHeight="1" x14ac:dyDescent="0.35">
      <c r="A123" s="40" t="s">
        <v>387</v>
      </c>
      <c r="B123" s="40"/>
      <c r="C123" s="41" t="s">
        <v>145</v>
      </c>
      <c r="D123" s="42" t="s">
        <v>385</v>
      </c>
      <c r="E123" s="42">
        <f>COUNTIF(Questions!D:D,D123)</f>
        <v>2</v>
      </c>
      <c r="F123" s="42" t="s">
        <v>388</v>
      </c>
      <c r="G123" s="42" t="s">
        <v>2127</v>
      </c>
      <c r="H123" s="42" t="s">
        <v>385</v>
      </c>
      <c r="I123" s="42">
        <f>COUNTIF(Questions!H:H,H123)</f>
        <v>2</v>
      </c>
      <c r="J123" s="41">
        <v>23</v>
      </c>
    </row>
    <row r="124" spans="1:10" ht="22" customHeight="1" x14ac:dyDescent="0.35">
      <c r="A124" s="40" t="s">
        <v>389</v>
      </c>
      <c r="B124" s="40"/>
      <c r="C124" s="41" t="s">
        <v>145</v>
      </c>
      <c r="D124" s="42" t="s">
        <v>390</v>
      </c>
      <c r="E124" s="42">
        <f>COUNTIF(Questions!D:D,D124)</f>
        <v>2</v>
      </c>
      <c r="F124" s="42" t="s">
        <v>391</v>
      </c>
      <c r="G124" s="42" t="s">
        <v>2127</v>
      </c>
      <c r="H124" s="42" t="s">
        <v>392</v>
      </c>
      <c r="I124" s="42">
        <f>COUNTIF(Questions!H:H,H124)</f>
        <v>2</v>
      </c>
      <c r="J124" s="41"/>
    </row>
    <row r="125" spans="1:10" ht="22" customHeight="1" x14ac:dyDescent="0.35">
      <c r="A125" s="40" t="s">
        <v>393</v>
      </c>
      <c r="B125" s="40"/>
      <c r="C125" s="41" t="s">
        <v>145</v>
      </c>
      <c r="D125" s="42" t="s">
        <v>390</v>
      </c>
      <c r="E125" s="42">
        <f>COUNTIF(Questions!D:D,D125)</f>
        <v>2</v>
      </c>
      <c r="F125" s="42" t="s">
        <v>394</v>
      </c>
      <c r="G125" s="42" t="s">
        <v>2127</v>
      </c>
      <c r="H125" s="42" t="s">
        <v>392</v>
      </c>
      <c r="I125" s="42">
        <f>COUNTIF(Questions!H:H,H125)</f>
        <v>2</v>
      </c>
      <c r="J125" s="41"/>
    </row>
    <row r="126" spans="1:10" ht="22" customHeight="1" x14ac:dyDescent="0.35">
      <c r="A126" s="28" t="s">
        <v>395</v>
      </c>
      <c r="B126" s="28"/>
      <c r="C126" s="29" t="s">
        <v>176</v>
      </c>
      <c r="D126" s="30" t="s">
        <v>396</v>
      </c>
      <c r="E126" s="30">
        <f>COUNTIF(Questions!D:D,D126)</f>
        <v>2</v>
      </c>
      <c r="F126" s="30" t="s">
        <v>397</v>
      </c>
      <c r="G126" s="30" t="s">
        <v>179</v>
      </c>
      <c r="H126" s="30" t="s">
        <v>398</v>
      </c>
      <c r="I126" s="30">
        <f>COUNTIF(Questions!H:H,H126)</f>
        <v>2</v>
      </c>
      <c r="J126" s="29"/>
    </row>
    <row r="127" spans="1:10" ht="22" customHeight="1" x14ac:dyDescent="0.35">
      <c r="A127" s="28" t="s">
        <v>399</v>
      </c>
      <c r="B127" s="28"/>
      <c r="C127" s="29" t="s">
        <v>176</v>
      </c>
      <c r="D127" s="30" t="s">
        <v>396</v>
      </c>
      <c r="E127" s="30">
        <f>COUNTIF(Questions!D:D,D127)</f>
        <v>2</v>
      </c>
      <c r="F127" s="30" t="s">
        <v>400</v>
      </c>
      <c r="G127" s="30" t="s">
        <v>179</v>
      </c>
      <c r="H127" s="30" t="s">
        <v>398</v>
      </c>
      <c r="I127" s="30">
        <f>COUNTIF(Questions!H:H,H127)</f>
        <v>2</v>
      </c>
      <c r="J127" s="29"/>
    </row>
    <row r="128" spans="1:10" ht="22" customHeight="1" x14ac:dyDescent="0.35">
      <c r="A128" s="43" t="s">
        <v>401</v>
      </c>
      <c r="B128" s="43"/>
      <c r="C128" s="44" t="s">
        <v>8</v>
      </c>
      <c r="D128" s="45" t="s">
        <v>402</v>
      </c>
      <c r="E128" s="45">
        <f>COUNTIF(Questions!D:D,D128)</f>
        <v>2</v>
      </c>
      <c r="F128" s="45" t="s">
        <v>403</v>
      </c>
      <c r="G128" s="45" t="s">
        <v>11</v>
      </c>
      <c r="H128" s="45" t="s">
        <v>404</v>
      </c>
      <c r="I128" s="45">
        <f>COUNTIF(Questions!H:H,H128)</f>
        <v>2</v>
      </c>
      <c r="J128" s="44"/>
    </row>
    <row r="129" spans="1:10" ht="22" customHeight="1" x14ac:dyDescent="0.35">
      <c r="A129" s="43" t="s">
        <v>405</v>
      </c>
      <c r="B129" s="43"/>
      <c r="C129" s="44" t="s">
        <v>8</v>
      </c>
      <c r="D129" s="45" t="s">
        <v>402</v>
      </c>
      <c r="E129" s="45">
        <f>COUNTIF(Questions!D:D,D129)</f>
        <v>2</v>
      </c>
      <c r="F129" s="45" t="s">
        <v>406</v>
      </c>
      <c r="G129" s="45" t="s">
        <v>11</v>
      </c>
      <c r="H129" s="45" t="s">
        <v>404</v>
      </c>
      <c r="I129" s="45">
        <f>COUNTIF(Questions!H:H,H129)</f>
        <v>2</v>
      </c>
      <c r="J129" s="44"/>
    </row>
    <row r="130" spans="1:10" ht="22" customHeight="1" x14ac:dyDescent="0.35">
      <c r="A130" s="37" t="s">
        <v>407</v>
      </c>
      <c r="B130" s="37"/>
      <c r="C130" s="38" t="s">
        <v>57</v>
      </c>
      <c r="D130" s="39" t="s">
        <v>408</v>
      </c>
      <c r="E130" s="39">
        <f>COUNTIF(Questions!D:D,D130)</f>
        <v>2</v>
      </c>
      <c r="F130" s="39" t="s">
        <v>409</v>
      </c>
      <c r="G130" s="39" t="s">
        <v>2121</v>
      </c>
      <c r="H130" s="39" t="s">
        <v>410</v>
      </c>
      <c r="I130" s="39">
        <f>COUNTIF(Questions!H:H,H130)</f>
        <v>2</v>
      </c>
      <c r="J130" s="38"/>
    </row>
    <row r="131" spans="1:10" ht="22" customHeight="1" x14ac:dyDescent="0.35">
      <c r="A131" s="37" t="s">
        <v>411</v>
      </c>
      <c r="B131" s="37"/>
      <c r="C131" s="38" t="s">
        <v>57</v>
      </c>
      <c r="D131" s="39" t="s">
        <v>408</v>
      </c>
      <c r="E131" s="39">
        <f>COUNTIF(Questions!D:D,D131)</f>
        <v>2</v>
      </c>
      <c r="F131" s="39" t="s">
        <v>412</v>
      </c>
      <c r="G131" s="39" t="s">
        <v>2121</v>
      </c>
      <c r="H131" s="39" t="s">
        <v>410</v>
      </c>
      <c r="I131" s="39">
        <f>COUNTIF(Questions!H:H,H131)</f>
        <v>2</v>
      </c>
      <c r="J131" s="38"/>
    </row>
    <row r="132" spans="1:10" ht="22" customHeight="1" x14ac:dyDescent="0.35">
      <c r="A132" s="43" t="s">
        <v>413</v>
      </c>
      <c r="B132" s="43"/>
      <c r="C132" s="44" t="s">
        <v>8</v>
      </c>
      <c r="D132" s="45" t="s">
        <v>414</v>
      </c>
      <c r="E132" s="45">
        <f>COUNTIF(Questions!D:D,D132)</f>
        <v>2</v>
      </c>
      <c r="F132" s="45" t="s">
        <v>415</v>
      </c>
      <c r="G132" s="45" t="s">
        <v>11</v>
      </c>
      <c r="H132" s="45" t="s">
        <v>416</v>
      </c>
      <c r="I132" s="45">
        <f>COUNTIF(Questions!H:H,H132)</f>
        <v>2</v>
      </c>
      <c r="J132" s="44"/>
    </row>
    <row r="133" spans="1:10" ht="22" customHeight="1" x14ac:dyDescent="0.35">
      <c r="A133" s="43" t="s">
        <v>417</v>
      </c>
      <c r="B133" s="43"/>
      <c r="C133" s="44" t="s">
        <v>8</v>
      </c>
      <c r="D133" s="45" t="s">
        <v>414</v>
      </c>
      <c r="E133" s="45">
        <f>COUNTIF(Questions!D:D,D133)</f>
        <v>2</v>
      </c>
      <c r="F133" s="45" t="s">
        <v>418</v>
      </c>
      <c r="G133" s="45" t="s">
        <v>11</v>
      </c>
      <c r="H133" s="45" t="s">
        <v>416</v>
      </c>
      <c r="I133" s="45">
        <f>COUNTIF(Questions!H:H,H133)</f>
        <v>2</v>
      </c>
      <c r="J133" s="44"/>
    </row>
    <row r="134" spans="1:10" ht="22" customHeight="1" x14ac:dyDescent="0.35">
      <c r="A134" s="40" t="s">
        <v>419</v>
      </c>
      <c r="B134" s="40"/>
      <c r="C134" s="41" t="s">
        <v>145</v>
      </c>
      <c r="D134" s="42" t="s">
        <v>420</v>
      </c>
      <c r="E134" s="42">
        <f>COUNTIF(Questions!D:D,D134)</f>
        <v>2</v>
      </c>
      <c r="F134" s="42" t="s">
        <v>421</v>
      </c>
      <c r="G134" s="42" t="s">
        <v>2127</v>
      </c>
      <c r="H134" s="42" t="s">
        <v>420</v>
      </c>
      <c r="I134" s="42">
        <f>COUNTIF(Questions!H:H,H134)</f>
        <v>2</v>
      </c>
      <c r="J134" s="41"/>
    </row>
    <row r="135" spans="1:10" ht="22" customHeight="1" x14ac:dyDescent="0.35">
      <c r="A135" s="40" t="s">
        <v>422</v>
      </c>
      <c r="B135" s="40"/>
      <c r="C135" s="41" t="s">
        <v>145</v>
      </c>
      <c r="D135" s="42" t="s">
        <v>420</v>
      </c>
      <c r="E135" s="42">
        <f>COUNTIF(Questions!D:D,D135)</f>
        <v>2</v>
      </c>
      <c r="F135" s="42" t="s">
        <v>423</v>
      </c>
      <c r="G135" s="42" t="s">
        <v>2127</v>
      </c>
      <c r="H135" s="42" t="s">
        <v>420</v>
      </c>
      <c r="I135" s="42">
        <f>COUNTIF(Questions!H:H,H135)</f>
        <v>2</v>
      </c>
      <c r="J135" s="41"/>
    </row>
    <row r="136" spans="1:10" ht="22" customHeight="1" x14ac:dyDescent="0.35">
      <c r="A136" s="40" t="s">
        <v>424</v>
      </c>
      <c r="B136" s="40"/>
      <c r="C136" s="41" t="s">
        <v>145</v>
      </c>
      <c r="D136" s="42" t="s">
        <v>425</v>
      </c>
      <c r="E136" s="42">
        <f>COUNTIF(Questions!D:D,D136)</f>
        <v>2</v>
      </c>
      <c r="F136" s="42" t="s">
        <v>426</v>
      </c>
      <c r="G136" s="42" t="s">
        <v>2127</v>
      </c>
      <c r="H136" s="42" t="s">
        <v>427</v>
      </c>
      <c r="I136" s="42">
        <f>COUNTIF(Questions!H:H,H136)</f>
        <v>2</v>
      </c>
      <c r="J136" s="41"/>
    </row>
    <row r="137" spans="1:10" ht="22" customHeight="1" x14ac:dyDescent="0.35">
      <c r="A137" s="40" t="s">
        <v>428</v>
      </c>
      <c r="B137" s="40"/>
      <c r="C137" s="41" t="s">
        <v>145</v>
      </c>
      <c r="D137" s="42" t="s">
        <v>425</v>
      </c>
      <c r="E137" s="42">
        <f>COUNTIF(Questions!D:D,D137)</f>
        <v>2</v>
      </c>
      <c r="F137" s="42" t="s">
        <v>429</v>
      </c>
      <c r="G137" s="42" t="s">
        <v>2127</v>
      </c>
      <c r="H137" s="42" t="s">
        <v>427</v>
      </c>
      <c r="I137" s="42">
        <f>COUNTIF(Questions!H:H,H137)</f>
        <v>2</v>
      </c>
      <c r="J137" s="41"/>
    </row>
    <row r="138" spans="1:10" ht="22" customHeight="1" x14ac:dyDescent="0.35">
      <c r="A138" s="37" t="s">
        <v>430</v>
      </c>
      <c r="B138" s="37"/>
      <c r="C138" s="38" t="s">
        <v>57</v>
      </c>
      <c r="D138" s="39" t="s">
        <v>431</v>
      </c>
      <c r="E138" s="39">
        <f>COUNTIF(Questions!D:D,D138)</f>
        <v>2</v>
      </c>
      <c r="F138" s="39" t="s">
        <v>432</v>
      </c>
      <c r="G138" s="39" t="s">
        <v>2121</v>
      </c>
      <c r="H138" s="39" t="s">
        <v>433</v>
      </c>
      <c r="I138" s="39">
        <f>COUNTIF(Questions!H:H,H138)</f>
        <v>2</v>
      </c>
      <c r="J138" s="38"/>
    </row>
    <row r="139" spans="1:10" ht="22" customHeight="1" x14ac:dyDescent="0.35">
      <c r="A139" s="37" t="s">
        <v>434</v>
      </c>
      <c r="B139" s="37"/>
      <c r="C139" s="38" t="s">
        <v>57</v>
      </c>
      <c r="D139" s="39" t="s">
        <v>431</v>
      </c>
      <c r="E139" s="39">
        <f>COUNTIF(Questions!D:D,D139)</f>
        <v>2</v>
      </c>
      <c r="F139" s="39" t="s">
        <v>435</v>
      </c>
      <c r="G139" s="39" t="s">
        <v>2121</v>
      </c>
      <c r="H139" s="39" t="s">
        <v>433</v>
      </c>
      <c r="I139" s="39">
        <f>COUNTIF(Questions!H:H,H139)</f>
        <v>2</v>
      </c>
      <c r="J139" s="38"/>
    </row>
    <row r="140" spans="1:10" ht="22" customHeight="1" x14ac:dyDescent="0.35">
      <c r="A140" s="43" t="s">
        <v>436</v>
      </c>
      <c r="B140" s="43"/>
      <c r="C140" s="44" t="s">
        <v>8</v>
      </c>
      <c r="D140" s="45" t="s">
        <v>437</v>
      </c>
      <c r="E140" s="45">
        <f>COUNTIF(Questions!D:D,D140)</f>
        <v>2</v>
      </c>
      <c r="F140" s="45" t="s">
        <v>438</v>
      </c>
      <c r="G140" s="45" t="s">
        <v>11</v>
      </c>
      <c r="H140" s="45" t="s">
        <v>439</v>
      </c>
      <c r="I140" s="45">
        <f>COUNTIF(Questions!H:H,H140)</f>
        <v>2</v>
      </c>
      <c r="J140" s="44"/>
    </row>
    <row r="141" spans="1:10" ht="22" customHeight="1" x14ac:dyDescent="0.35">
      <c r="A141" s="43" t="s">
        <v>440</v>
      </c>
      <c r="B141" s="43"/>
      <c r="C141" s="44" t="s">
        <v>8</v>
      </c>
      <c r="D141" s="45" t="s">
        <v>437</v>
      </c>
      <c r="E141" s="45">
        <f>COUNTIF(Questions!D:D,D141)</f>
        <v>2</v>
      </c>
      <c r="F141" s="45" t="s">
        <v>441</v>
      </c>
      <c r="G141" s="45" t="s">
        <v>11</v>
      </c>
      <c r="H141" s="45" t="s">
        <v>439</v>
      </c>
      <c r="I141" s="45">
        <f>COUNTIF(Questions!H:H,H141)</f>
        <v>2</v>
      </c>
      <c r="J141" s="44"/>
    </row>
    <row r="142" spans="1:10" ht="22" customHeight="1" x14ac:dyDescent="0.35">
      <c r="A142" s="31" t="s">
        <v>442</v>
      </c>
      <c r="B142" s="31"/>
      <c r="C142" s="32" t="s">
        <v>176</v>
      </c>
      <c r="D142" s="33" t="s">
        <v>443</v>
      </c>
      <c r="E142" s="33">
        <f>COUNTIF(Questions!D:D,D142)</f>
        <v>2</v>
      </c>
      <c r="F142" s="33" t="s">
        <v>444</v>
      </c>
      <c r="G142" s="33" t="s">
        <v>179</v>
      </c>
      <c r="H142" s="33" t="s">
        <v>445</v>
      </c>
      <c r="I142" s="33">
        <f>COUNTIF(Questions!H:H,H142)</f>
        <v>2</v>
      </c>
      <c r="J142" s="32"/>
    </row>
    <row r="143" spans="1:10" ht="22" customHeight="1" x14ac:dyDescent="0.35">
      <c r="A143" s="31" t="s">
        <v>446</v>
      </c>
      <c r="B143" s="31"/>
      <c r="C143" s="32" t="s">
        <v>176</v>
      </c>
      <c r="D143" s="33" t="s">
        <v>443</v>
      </c>
      <c r="E143" s="33">
        <f>COUNTIF(Questions!D:D,D143)</f>
        <v>2</v>
      </c>
      <c r="F143" s="33" t="s">
        <v>447</v>
      </c>
      <c r="G143" s="33" t="s">
        <v>179</v>
      </c>
      <c r="H143" s="33" t="s">
        <v>445</v>
      </c>
      <c r="I143" s="33">
        <f>COUNTIF(Questions!H:H,H143)</f>
        <v>2</v>
      </c>
      <c r="J143" s="32"/>
    </row>
    <row r="144" spans="1:10" ht="22" customHeight="1" x14ac:dyDescent="0.35">
      <c r="A144" s="31" t="s">
        <v>448</v>
      </c>
      <c r="B144" s="31"/>
      <c r="C144" s="32" t="s">
        <v>176</v>
      </c>
      <c r="D144" s="33" t="s">
        <v>449</v>
      </c>
      <c r="E144" s="33">
        <f>COUNTIF(Questions!D:D,D144)</f>
        <v>2</v>
      </c>
      <c r="F144" s="33" t="s">
        <v>450</v>
      </c>
      <c r="G144" s="33" t="s">
        <v>179</v>
      </c>
      <c r="H144" s="33" t="s">
        <v>451</v>
      </c>
      <c r="I144" s="33">
        <f>COUNTIF(Questions!H:H,H144)</f>
        <v>2</v>
      </c>
      <c r="J144" s="32"/>
    </row>
    <row r="145" spans="1:10" ht="22" customHeight="1" x14ac:dyDescent="0.35">
      <c r="A145" s="31" t="s">
        <v>452</v>
      </c>
      <c r="B145" s="31"/>
      <c r="C145" s="32" t="s">
        <v>176</v>
      </c>
      <c r="D145" s="33" t="s">
        <v>449</v>
      </c>
      <c r="E145" s="33">
        <f>COUNTIF(Questions!D:D,D145)</f>
        <v>2</v>
      </c>
      <c r="F145" s="33" t="s">
        <v>453</v>
      </c>
      <c r="G145" s="33" t="s">
        <v>179</v>
      </c>
      <c r="H145" s="33" t="s">
        <v>451</v>
      </c>
      <c r="I145" s="33">
        <f>COUNTIF(Questions!H:H,H145)</f>
        <v>2</v>
      </c>
      <c r="J145" s="32"/>
    </row>
    <row r="146" spans="1:10" ht="22" customHeight="1" x14ac:dyDescent="0.35">
      <c r="A146" s="37" t="s">
        <v>454</v>
      </c>
      <c r="B146" s="37"/>
      <c r="C146" s="38" t="s">
        <v>57</v>
      </c>
      <c r="D146" s="39" t="s">
        <v>455</v>
      </c>
      <c r="E146" s="39">
        <f>COUNTIF(Questions!D:D,D146)</f>
        <v>2</v>
      </c>
      <c r="F146" s="39" t="s">
        <v>456</v>
      </c>
      <c r="G146" s="39" t="s">
        <v>2121</v>
      </c>
      <c r="H146" s="39" t="s">
        <v>457</v>
      </c>
      <c r="I146" s="39">
        <f>COUNTIF(Questions!H:H,H146)</f>
        <v>2</v>
      </c>
      <c r="J146" s="38"/>
    </row>
    <row r="147" spans="1:10" ht="22" customHeight="1" x14ac:dyDescent="0.35">
      <c r="A147" s="37" t="s">
        <v>458</v>
      </c>
      <c r="B147" s="37"/>
      <c r="C147" s="38" t="s">
        <v>57</v>
      </c>
      <c r="D147" s="39" t="s">
        <v>455</v>
      </c>
      <c r="E147" s="39">
        <f>COUNTIF(Questions!D:D,D147)</f>
        <v>2</v>
      </c>
      <c r="F147" s="39" t="s">
        <v>459</v>
      </c>
      <c r="G147" s="39" t="s">
        <v>2121</v>
      </c>
      <c r="H147" s="39" t="s">
        <v>457</v>
      </c>
      <c r="I147" s="39">
        <f>COUNTIF(Questions!H:H,H147)</f>
        <v>2</v>
      </c>
      <c r="J147" s="38"/>
    </row>
    <row r="148" spans="1:10" ht="22" customHeight="1" x14ac:dyDescent="0.35">
      <c r="A148" s="40" t="s">
        <v>460</v>
      </c>
      <c r="B148" s="40"/>
      <c r="C148" s="41" t="s">
        <v>216</v>
      </c>
      <c r="D148" s="42" t="s">
        <v>461</v>
      </c>
      <c r="E148" s="42">
        <f>COUNTIF(Questions!D:D,D148)</f>
        <v>2</v>
      </c>
      <c r="F148" s="42" t="s">
        <v>462</v>
      </c>
      <c r="G148" s="42" t="s">
        <v>2124</v>
      </c>
      <c r="H148" s="42" t="s">
        <v>463</v>
      </c>
      <c r="I148" s="42">
        <f>COUNTIF(Questions!H:H,H148)</f>
        <v>2</v>
      </c>
      <c r="J148" s="41"/>
    </row>
    <row r="149" spans="1:10" ht="22" customHeight="1" x14ac:dyDescent="0.35">
      <c r="A149" s="40" t="s">
        <v>464</v>
      </c>
      <c r="B149" s="40"/>
      <c r="C149" s="41" t="s">
        <v>216</v>
      </c>
      <c r="D149" s="42" t="s">
        <v>461</v>
      </c>
      <c r="E149" s="42">
        <f>COUNTIF(Questions!D:D,D149)</f>
        <v>2</v>
      </c>
      <c r="F149" s="42" t="s">
        <v>465</v>
      </c>
      <c r="G149" s="42" t="s">
        <v>2124</v>
      </c>
      <c r="H149" s="42" t="s">
        <v>463</v>
      </c>
      <c r="I149" s="42">
        <f>COUNTIF(Questions!H:H,H149)</f>
        <v>2</v>
      </c>
      <c r="J149" s="41"/>
    </row>
    <row r="150" spans="1:10" ht="22" customHeight="1" x14ac:dyDescent="0.35">
      <c r="A150" s="28" t="s">
        <v>466</v>
      </c>
      <c r="B150" s="28"/>
      <c r="C150" s="29" t="s">
        <v>145</v>
      </c>
      <c r="D150" s="30" t="s">
        <v>467</v>
      </c>
      <c r="E150" s="30">
        <f>COUNTIF(Questions!D:D,D150)</f>
        <v>2</v>
      </c>
      <c r="F150" s="30" t="s">
        <v>468</v>
      </c>
      <c r="G150" s="30" t="s">
        <v>2127</v>
      </c>
      <c r="H150" s="30" t="s">
        <v>469</v>
      </c>
      <c r="I150" s="30">
        <f>COUNTIF(Questions!H:H,H150)</f>
        <v>2</v>
      </c>
      <c r="J150" s="29"/>
    </row>
    <row r="151" spans="1:10" ht="22" customHeight="1" x14ac:dyDescent="0.35">
      <c r="A151" s="28" t="s">
        <v>470</v>
      </c>
      <c r="B151" s="28"/>
      <c r="C151" s="29" t="s">
        <v>145</v>
      </c>
      <c r="D151" s="30" t="s">
        <v>467</v>
      </c>
      <c r="E151" s="30">
        <f>COUNTIF(Questions!D:D,D151)</f>
        <v>2</v>
      </c>
      <c r="F151" s="30" t="s">
        <v>471</v>
      </c>
      <c r="G151" s="30" t="s">
        <v>2127</v>
      </c>
      <c r="H151" s="30" t="s">
        <v>469</v>
      </c>
      <c r="I151" s="30">
        <f>COUNTIF(Questions!H:H,H151)</f>
        <v>2</v>
      </c>
      <c r="J151" s="29" t="s">
        <v>472</v>
      </c>
    </row>
    <row r="152" spans="1:10" ht="22" customHeight="1" x14ac:dyDescent="0.35">
      <c r="A152" s="6" t="s">
        <v>473</v>
      </c>
      <c r="B152" s="6"/>
      <c r="C152" s="7" t="s">
        <v>50</v>
      </c>
      <c r="D152" s="8" t="s">
        <v>474</v>
      </c>
      <c r="E152" s="8">
        <f>COUNTIF(Questions!D:D,D152)</f>
        <v>2</v>
      </c>
      <c r="F152" s="8" t="s">
        <v>475</v>
      </c>
      <c r="G152" s="8" t="s">
        <v>50</v>
      </c>
      <c r="H152" s="8" t="s">
        <v>474</v>
      </c>
      <c r="I152" s="8">
        <f>COUNTIF(Questions!H:H,H152)</f>
        <v>2</v>
      </c>
      <c r="J152" s="7"/>
    </row>
    <row r="153" spans="1:10" ht="22" customHeight="1" x14ac:dyDescent="0.35">
      <c r="A153" s="6" t="s">
        <v>476</v>
      </c>
      <c r="B153" s="6"/>
      <c r="C153" s="7" t="s">
        <v>50</v>
      </c>
      <c r="D153" s="8" t="s">
        <v>474</v>
      </c>
      <c r="E153" s="8">
        <f>COUNTIF(Questions!D:D,D153)</f>
        <v>2</v>
      </c>
      <c r="F153" s="8" t="s">
        <v>477</v>
      </c>
      <c r="G153" s="8" t="s">
        <v>50</v>
      </c>
      <c r="H153" s="8" t="s">
        <v>474</v>
      </c>
      <c r="I153" s="8">
        <f>COUNTIF(Questions!H:H,H153)</f>
        <v>2</v>
      </c>
      <c r="J153" s="7"/>
    </row>
    <row r="154" spans="1:10" ht="22" customHeight="1" x14ac:dyDescent="0.35">
      <c r="A154" s="25" t="s">
        <v>478</v>
      </c>
      <c r="B154" s="25"/>
      <c r="C154" s="26" t="s">
        <v>24</v>
      </c>
      <c r="D154" s="27" t="s">
        <v>479</v>
      </c>
      <c r="E154" s="27">
        <f>COUNTIF(Questions!D:D,D154)</f>
        <v>2</v>
      </c>
      <c r="F154" s="27" t="s">
        <v>480</v>
      </c>
      <c r="G154" s="27" t="s">
        <v>27</v>
      </c>
      <c r="H154" s="27" t="s">
        <v>481</v>
      </c>
      <c r="I154" s="27">
        <f>COUNTIF(Questions!H:H,H154)</f>
        <v>2</v>
      </c>
      <c r="J154" s="26"/>
    </row>
    <row r="155" spans="1:10" ht="22" customHeight="1" x14ac:dyDescent="0.35">
      <c r="A155" s="25" t="s">
        <v>482</v>
      </c>
      <c r="B155" s="25"/>
      <c r="C155" s="26" t="s">
        <v>24</v>
      </c>
      <c r="D155" s="27" t="s">
        <v>479</v>
      </c>
      <c r="E155" s="27">
        <f>COUNTIF(Questions!D:D,D155)</f>
        <v>2</v>
      </c>
      <c r="F155" s="27" t="s">
        <v>483</v>
      </c>
      <c r="G155" s="27" t="s">
        <v>27</v>
      </c>
      <c r="H155" s="27" t="s">
        <v>481</v>
      </c>
      <c r="I155" s="27">
        <f>COUNTIF(Questions!H:H,H155)</f>
        <v>2</v>
      </c>
      <c r="J155" s="26" t="s">
        <v>484</v>
      </c>
    </row>
    <row r="156" spans="1:10" ht="22" customHeight="1" x14ac:dyDescent="0.35">
      <c r="A156" s="25" t="s">
        <v>485</v>
      </c>
      <c r="B156" s="25"/>
      <c r="C156" s="26" t="s">
        <v>72</v>
      </c>
      <c r="D156" s="27" t="s">
        <v>486</v>
      </c>
      <c r="E156" s="27">
        <f>COUNTIF(Questions!D:D,D156)</f>
        <v>2</v>
      </c>
      <c r="F156" s="27" t="s">
        <v>487</v>
      </c>
      <c r="G156" s="27" t="s">
        <v>2120</v>
      </c>
      <c r="H156" s="27" t="s">
        <v>488</v>
      </c>
      <c r="I156" s="27">
        <f>COUNTIF(Questions!H:H,H156)</f>
        <v>2</v>
      </c>
      <c r="J156" s="26"/>
    </row>
    <row r="157" spans="1:10" ht="22" customHeight="1" x14ac:dyDescent="0.35">
      <c r="A157" s="25" t="s">
        <v>489</v>
      </c>
      <c r="B157" s="25"/>
      <c r="C157" s="26" t="s">
        <v>72</v>
      </c>
      <c r="D157" s="27" t="s">
        <v>486</v>
      </c>
      <c r="E157" s="27">
        <f>COUNTIF(Questions!D:D,D157)</f>
        <v>2</v>
      </c>
      <c r="F157" s="27" t="s">
        <v>490</v>
      </c>
      <c r="G157" s="27" t="s">
        <v>2120</v>
      </c>
      <c r="H157" s="27" t="s">
        <v>488</v>
      </c>
      <c r="I157" s="27">
        <f>COUNTIF(Questions!H:H,H157)</f>
        <v>2</v>
      </c>
      <c r="J157" s="26"/>
    </row>
    <row r="158" spans="1:10" ht="22" customHeight="1" x14ac:dyDescent="0.35">
      <c r="A158" s="25" t="s">
        <v>491</v>
      </c>
      <c r="B158" s="25"/>
      <c r="C158" s="26" t="s">
        <v>216</v>
      </c>
      <c r="D158" s="27" t="s">
        <v>492</v>
      </c>
      <c r="E158" s="27">
        <f>COUNTIF(Questions!D:D,D158)</f>
        <v>2</v>
      </c>
      <c r="F158" s="27" t="s">
        <v>493</v>
      </c>
      <c r="G158" s="27" t="s">
        <v>2124</v>
      </c>
      <c r="H158" s="101" t="s">
        <v>2180</v>
      </c>
      <c r="I158" s="27">
        <f>COUNTIF(Questions!H:H,H158)</f>
        <v>2</v>
      </c>
      <c r="J158" s="26"/>
    </row>
    <row r="159" spans="1:10" ht="22" customHeight="1" x14ac:dyDescent="0.35">
      <c r="A159" s="25" t="s">
        <v>495</v>
      </c>
      <c r="B159" s="25"/>
      <c r="C159" s="26" t="s">
        <v>216</v>
      </c>
      <c r="D159" s="27" t="s">
        <v>492</v>
      </c>
      <c r="E159" s="27">
        <f>COUNTIF(Questions!D:D,D159)</f>
        <v>2</v>
      </c>
      <c r="F159" s="27" t="s">
        <v>496</v>
      </c>
      <c r="G159" s="27" t="s">
        <v>2124</v>
      </c>
      <c r="H159" s="101" t="s">
        <v>2180</v>
      </c>
      <c r="I159" s="27">
        <f>COUNTIF(Questions!H:H,H159)</f>
        <v>2</v>
      </c>
      <c r="J159" s="26"/>
    </row>
    <row r="160" spans="1:10" ht="22" customHeight="1" x14ac:dyDescent="0.35">
      <c r="A160" s="6" t="s">
        <v>497</v>
      </c>
      <c r="B160" s="6"/>
      <c r="C160" s="7" t="s">
        <v>50</v>
      </c>
      <c r="D160" s="8" t="s">
        <v>498</v>
      </c>
      <c r="E160" s="8">
        <f>COUNTIF(Questions!D:D,D160)</f>
        <v>2</v>
      </c>
      <c r="F160" s="8" t="s">
        <v>499</v>
      </c>
      <c r="G160" s="8" t="s">
        <v>50</v>
      </c>
      <c r="H160" s="8" t="s">
        <v>500</v>
      </c>
      <c r="I160" s="8">
        <f>COUNTIF(Questions!H:H,H160)</f>
        <v>2</v>
      </c>
      <c r="J160" s="7"/>
    </row>
    <row r="161" spans="1:10" ht="22" customHeight="1" x14ac:dyDescent="0.35">
      <c r="A161" s="6" t="s">
        <v>501</v>
      </c>
      <c r="B161" s="6"/>
      <c r="C161" s="7" t="s">
        <v>50</v>
      </c>
      <c r="D161" s="8" t="s">
        <v>498</v>
      </c>
      <c r="E161" s="8">
        <f>COUNTIF(Questions!D:D,D161)</f>
        <v>2</v>
      </c>
      <c r="F161" s="8" t="s">
        <v>502</v>
      </c>
      <c r="G161" s="8" t="s">
        <v>50</v>
      </c>
      <c r="H161" s="8" t="s">
        <v>500</v>
      </c>
      <c r="I161" s="8">
        <f>COUNTIF(Questions!H:H,H161)</f>
        <v>2</v>
      </c>
      <c r="J161" s="7"/>
    </row>
    <row r="162" spans="1:10" ht="22" customHeight="1" x14ac:dyDescent="0.35">
      <c r="A162" s="40" t="s">
        <v>503</v>
      </c>
      <c r="B162" s="40"/>
      <c r="C162" s="41" t="s">
        <v>216</v>
      </c>
      <c r="D162" s="42" t="s">
        <v>504</v>
      </c>
      <c r="E162" s="42">
        <f>COUNTIF(Questions!D:D,D162)</f>
        <v>2</v>
      </c>
      <c r="F162" s="42" t="s">
        <v>505</v>
      </c>
      <c r="G162" s="42" t="s">
        <v>2124</v>
      </c>
      <c r="H162" s="42" t="s">
        <v>506</v>
      </c>
      <c r="I162" s="42">
        <f>COUNTIF(Questions!H:H,H162)</f>
        <v>2</v>
      </c>
      <c r="J162" s="41"/>
    </row>
    <row r="163" spans="1:10" ht="22" customHeight="1" x14ac:dyDescent="0.35">
      <c r="A163" s="40" t="s">
        <v>507</v>
      </c>
      <c r="B163" s="40"/>
      <c r="C163" s="41" t="s">
        <v>145</v>
      </c>
      <c r="D163" s="42" t="s">
        <v>508</v>
      </c>
      <c r="E163" s="42">
        <f>COUNTIF(Questions!D:D,D163)</f>
        <v>2</v>
      </c>
      <c r="F163" s="42" t="s">
        <v>509</v>
      </c>
      <c r="G163" s="42" t="s">
        <v>2127</v>
      </c>
      <c r="H163" s="104" t="s">
        <v>2179</v>
      </c>
      <c r="I163" s="42">
        <f>COUNTIF(Questions!H:H,H163)</f>
        <v>2</v>
      </c>
      <c r="J163" s="41"/>
    </row>
    <row r="164" spans="1:10" ht="22" customHeight="1" x14ac:dyDescent="0.35">
      <c r="A164" s="25" t="s">
        <v>510</v>
      </c>
      <c r="B164" s="25"/>
      <c r="C164" s="26" t="s">
        <v>145</v>
      </c>
      <c r="D164" s="27" t="s">
        <v>508</v>
      </c>
      <c r="E164" s="27">
        <f>COUNTIF(Questions!D:D,D164)</f>
        <v>2</v>
      </c>
      <c r="F164" s="27" t="s">
        <v>511</v>
      </c>
      <c r="G164" s="27" t="s">
        <v>2127</v>
      </c>
      <c r="H164" s="101" t="s">
        <v>2179</v>
      </c>
      <c r="I164" s="27">
        <f>COUNTIF(Questions!H:H,H164)</f>
        <v>2</v>
      </c>
      <c r="J164" s="26"/>
    </row>
    <row r="165" spans="1:10" ht="22" customHeight="1" x14ac:dyDescent="0.35">
      <c r="A165" s="25" t="s">
        <v>512</v>
      </c>
      <c r="B165" s="25"/>
      <c r="C165" s="26" t="s">
        <v>216</v>
      </c>
      <c r="D165" s="27" t="s">
        <v>504</v>
      </c>
      <c r="E165" s="27">
        <f>COUNTIF(Questions!D:D,D165)</f>
        <v>2</v>
      </c>
      <c r="F165" s="27" t="s">
        <v>513</v>
      </c>
      <c r="G165" s="27" t="s">
        <v>2124</v>
      </c>
      <c r="H165" s="27" t="s">
        <v>506</v>
      </c>
      <c r="I165" s="27">
        <f>COUNTIF(Questions!H:H,H165)</f>
        <v>2</v>
      </c>
      <c r="J165" s="26"/>
    </row>
    <row r="166" spans="1:10" ht="22" customHeight="1" x14ac:dyDescent="0.35">
      <c r="A166" s="40" t="s">
        <v>514</v>
      </c>
      <c r="B166" s="40"/>
      <c r="C166" s="41" t="s">
        <v>216</v>
      </c>
      <c r="D166" s="42" t="s">
        <v>515</v>
      </c>
      <c r="E166" s="42">
        <f>COUNTIF(Questions!D:D,D166)</f>
        <v>2</v>
      </c>
      <c r="F166" s="42" t="s">
        <v>516</v>
      </c>
      <c r="G166" s="42" t="s">
        <v>2124</v>
      </c>
      <c r="H166" s="42" t="s">
        <v>517</v>
      </c>
      <c r="I166" s="42">
        <f>COUNTIF(Questions!H:H,H166)</f>
        <v>2</v>
      </c>
      <c r="J166" s="41"/>
    </row>
    <row r="167" spans="1:10" ht="22" customHeight="1" x14ac:dyDescent="0.35">
      <c r="A167" s="40" t="s">
        <v>518</v>
      </c>
      <c r="B167" s="40"/>
      <c r="C167" s="41" t="s">
        <v>216</v>
      </c>
      <c r="D167" s="42" t="s">
        <v>515</v>
      </c>
      <c r="E167" s="42">
        <f>COUNTIF(Questions!D:D,D167)</f>
        <v>2</v>
      </c>
      <c r="F167" s="42" t="s">
        <v>519</v>
      </c>
      <c r="G167" s="42" t="s">
        <v>2124</v>
      </c>
      <c r="H167" s="42" t="s">
        <v>517</v>
      </c>
      <c r="I167" s="42">
        <f>COUNTIF(Questions!H:H,H167)</f>
        <v>2</v>
      </c>
      <c r="J167" s="41"/>
    </row>
    <row r="168" spans="1:10" ht="22" customHeight="1" x14ac:dyDescent="0.35">
      <c r="A168" s="19" t="s">
        <v>520</v>
      </c>
      <c r="B168" s="19"/>
      <c r="C168" s="20" t="s">
        <v>64</v>
      </c>
      <c r="D168" s="21" t="s">
        <v>521</v>
      </c>
      <c r="E168" s="21">
        <f>COUNTIF(Questions!D:D,D168)</f>
        <v>2</v>
      </c>
      <c r="F168" s="21" t="s">
        <v>522</v>
      </c>
      <c r="G168" s="21" t="s">
        <v>67</v>
      </c>
      <c r="H168" s="21" t="s">
        <v>521</v>
      </c>
      <c r="I168" s="21">
        <f>COUNTIF(Questions!H:H,H168)</f>
        <v>2</v>
      </c>
      <c r="J168" s="20"/>
    </row>
    <row r="169" spans="1:10" ht="22" customHeight="1" x14ac:dyDescent="0.35">
      <c r="A169" s="19" t="s">
        <v>523</v>
      </c>
      <c r="B169" s="19"/>
      <c r="C169" s="20" t="s">
        <v>64</v>
      </c>
      <c r="D169" s="21" t="s">
        <v>521</v>
      </c>
      <c r="E169" s="21">
        <f>COUNTIF(Questions!D:D,D169)</f>
        <v>2</v>
      </c>
      <c r="F169" s="21" t="s">
        <v>524</v>
      </c>
      <c r="G169" s="21" t="s">
        <v>67</v>
      </c>
      <c r="H169" s="21" t="s">
        <v>521</v>
      </c>
      <c r="I169" s="21">
        <f>COUNTIF(Questions!H:H,H169)</f>
        <v>2</v>
      </c>
      <c r="J169" s="20"/>
    </row>
    <row r="170" spans="1:10" ht="22" customHeight="1" x14ac:dyDescent="0.35">
      <c r="A170" s="13" t="s">
        <v>525</v>
      </c>
      <c r="B170" s="13"/>
      <c r="C170" s="14" t="s">
        <v>79</v>
      </c>
      <c r="D170" s="15" t="s">
        <v>526</v>
      </c>
      <c r="E170" s="15">
        <f>COUNTIF(Questions!D:D,D170)</f>
        <v>2</v>
      </c>
      <c r="F170" s="15" t="s">
        <v>527</v>
      </c>
      <c r="G170" s="15" t="s">
        <v>2043</v>
      </c>
      <c r="H170" s="15" t="s">
        <v>528</v>
      </c>
      <c r="I170" s="15">
        <f>COUNTIF(Questions!H:H,H170)</f>
        <v>2</v>
      </c>
      <c r="J170" s="14"/>
    </row>
    <row r="171" spans="1:10" ht="22" customHeight="1" x14ac:dyDescent="0.35">
      <c r="A171" s="13" t="s">
        <v>529</v>
      </c>
      <c r="B171" s="13"/>
      <c r="C171" s="14" t="s">
        <v>79</v>
      </c>
      <c r="D171" s="15" t="s">
        <v>526</v>
      </c>
      <c r="E171" s="15">
        <f>COUNTIF(Questions!D:D,D171)</f>
        <v>2</v>
      </c>
      <c r="F171" s="15" t="s">
        <v>530</v>
      </c>
      <c r="G171" s="15" t="s">
        <v>2043</v>
      </c>
      <c r="H171" s="15" t="s">
        <v>528</v>
      </c>
      <c r="I171" s="15">
        <f>COUNTIF(Questions!H:H,H171)</f>
        <v>2</v>
      </c>
      <c r="J171" s="14"/>
    </row>
    <row r="172" spans="1:10" ht="22" customHeight="1" x14ac:dyDescent="0.35">
      <c r="A172" s="16" t="s">
        <v>531</v>
      </c>
      <c r="B172" s="16"/>
      <c r="C172" s="17" t="s">
        <v>92</v>
      </c>
      <c r="D172" s="18" t="s">
        <v>532</v>
      </c>
      <c r="E172" s="18">
        <f>COUNTIF(Questions!D:D,D172)</f>
        <v>2</v>
      </c>
      <c r="F172" s="18" t="s">
        <v>533</v>
      </c>
      <c r="G172" s="18" t="s">
        <v>2125</v>
      </c>
      <c r="H172" s="18" t="s">
        <v>534</v>
      </c>
      <c r="I172" s="18">
        <f>COUNTIF(Questions!H:H,H172)</f>
        <v>2</v>
      </c>
      <c r="J172" s="17"/>
    </row>
    <row r="173" spans="1:10" ht="22" customHeight="1" x14ac:dyDescent="0.35">
      <c r="A173" s="16" t="s">
        <v>535</v>
      </c>
      <c r="B173" s="16"/>
      <c r="C173" s="17" t="s">
        <v>92</v>
      </c>
      <c r="D173" s="18" t="s">
        <v>532</v>
      </c>
      <c r="E173" s="18">
        <f>COUNTIF(Questions!D:D,D173)</f>
        <v>2</v>
      </c>
      <c r="F173" s="18" t="s">
        <v>536</v>
      </c>
      <c r="G173" s="18" t="s">
        <v>2125</v>
      </c>
      <c r="H173" s="18" t="s">
        <v>534</v>
      </c>
      <c r="I173" s="18">
        <f>COUNTIF(Questions!H:H,H173)</f>
        <v>2</v>
      </c>
      <c r="J173" s="17"/>
    </row>
    <row r="174" spans="1:10" ht="22" customHeight="1" x14ac:dyDescent="0.35">
      <c r="A174" s="6" t="s">
        <v>537</v>
      </c>
      <c r="B174" s="6"/>
      <c r="C174" s="7" t="s">
        <v>50</v>
      </c>
      <c r="D174" s="8" t="s">
        <v>538</v>
      </c>
      <c r="E174" s="8">
        <f>COUNTIF(Questions!D:D,D174)</f>
        <v>2</v>
      </c>
      <c r="F174" s="8" t="s">
        <v>539</v>
      </c>
      <c r="G174" s="8" t="s">
        <v>50</v>
      </c>
      <c r="H174" s="8" t="s">
        <v>540</v>
      </c>
      <c r="I174" s="8">
        <f>COUNTIF(Questions!H:H,H174)</f>
        <v>2</v>
      </c>
      <c r="J174" s="7"/>
    </row>
    <row r="175" spans="1:10" ht="22" customHeight="1" x14ac:dyDescent="0.35">
      <c r="A175" s="6" t="s">
        <v>541</v>
      </c>
      <c r="B175" s="6"/>
      <c r="C175" s="7" t="s">
        <v>50</v>
      </c>
      <c r="D175" s="8" t="s">
        <v>538</v>
      </c>
      <c r="E175" s="8">
        <f>COUNTIF(Questions!D:D,D175)</f>
        <v>2</v>
      </c>
      <c r="F175" s="8" t="s">
        <v>542</v>
      </c>
      <c r="G175" s="8" t="s">
        <v>50</v>
      </c>
      <c r="H175" s="8" t="s">
        <v>540</v>
      </c>
      <c r="I175" s="8">
        <f>COUNTIF(Questions!H:H,H175)</f>
        <v>2</v>
      </c>
      <c r="J175" s="7"/>
    </row>
    <row r="176" spans="1:10" ht="22" customHeight="1" x14ac:dyDescent="0.35">
      <c r="A176" s="37" t="s">
        <v>543</v>
      </c>
      <c r="B176" s="37"/>
      <c r="C176" s="38" t="s">
        <v>8</v>
      </c>
      <c r="D176" s="39" t="s">
        <v>544</v>
      </c>
      <c r="E176" s="39">
        <f>COUNTIF(Questions!D:D,D176)</f>
        <v>2</v>
      </c>
      <c r="F176" s="39" t="s">
        <v>545</v>
      </c>
      <c r="G176" s="39" t="s">
        <v>11</v>
      </c>
      <c r="H176" s="39" t="s">
        <v>546</v>
      </c>
      <c r="I176" s="39">
        <f>COUNTIF(Questions!H:H,H176)</f>
        <v>2</v>
      </c>
      <c r="J176" s="38"/>
    </row>
    <row r="177" spans="1:10" ht="22" customHeight="1" x14ac:dyDescent="0.35">
      <c r="A177" s="37" t="s">
        <v>547</v>
      </c>
      <c r="B177" s="37"/>
      <c r="C177" s="38" t="s">
        <v>8</v>
      </c>
      <c r="D177" s="39" t="s">
        <v>544</v>
      </c>
      <c r="E177" s="39">
        <f>COUNTIF(Questions!D:D,D177)</f>
        <v>2</v>
      </c>
      <c r="F177" s="39" t="s">
        <v>548</v>
      </c>
      <c r="G177" s="39" t="s">
        <v>11</v>
      </c>
      <c r="H177" s="39" t="s">
        <v>546</v>
      </c>
      <c r="I177" s="39">
        <f>COUNTIF(Questions!H:H,H177)</f>
        <v>2</v>
      </c>
      <c r="J177" s="38"/>
    </row>
    <row r="178" spans="1:10" ht="22" customHeight="1" x14ac:dyDescent="0.35">
      <c r="A178" s="28" t="s">
        <v>549</v>
      </c>
      <c r="B178" s="28"/>
      <c r="C178" s="29" t="s">
        <v>176</v>
      </c>
      <c r="D178" s="30" t="s">
        <v>550</v>
      </c>
      <c r="E178" s="30">
        <f>COUNTIF(Questions!D:D,D178)</f>
        <v>2</v>
      </c>
      <c r="F178" s="30" t="s">
        <v>551</v>
      </c>
      <c r="G178" s="30" t="s">
        <v>179</v>
      </c>
      <c r="H178" s="30" t="s">
        <v>552</v>
      </c>
      <c r="I178" s="30">
        <f>COUNTIF(Questions!H:H,H178)</f>
        <v>2</v>
      </c>
      <c r="J178" s="29"/>
    </row>
    <row r="179" spans="1:10" ht="22" customHeight="1" x14ac:dyDescent="0.35">
      <c r="A179" s="28" t="s">
        <v>553</v>
      </c>
      <c r="B179" s="28"/>
      <c r="C179" s="29" t="s">
        <v>176</v>
      </c>
      <c r="D179" s="30" t="s">
        <v>550</v>
      </c>
      <c r="E179" s="30">
        <f>COUNTIF(Questions!D:D,D179)</f>
        <v>2</v>
      </c>
      <c r="F179" s="30" t="s">
        <v>554</v>
      </c>
      <c r="G179" s="30" t="s">
        <v>179</v>
      </c>
      <c r="H179" s="30" t="s">
        <v>552</v>
      </c>
      <c r="I179" s="30">
        <f>COUNTIF(Questions!H:H,H179)</f>
        <v>2</v>
      </c>
      <c r="J179" s="29"/>
    </row>
    <row r="180" spans="1:10" ht="22" customHeight="1" x14ac:dyDescent="0.35">
      <c r="A180" s="22" t="s">
        <v>555</v>
      </c>
      <c r="B180" s="22"/>
      <c r="C180" s="23" t="s">
        <v>16</v>
      </c>
      <c r="D180" s="24" t="s">
        <v>556</v>
      </c>
      <c r="E180" s="24">
        <f>COUNTIF(Questions!D:D,D180)</f>
        <v>2</v>
      </c>
      <c r="F180" s="24" t="s">
        <v>557</v>
      </c>
      <c r="G180" s="24" t="s">
        <v>19</v>
      </c>
      <c r="H180" s="24" t="s">
        <v>558</v>
      </c>
      <c r="I180" s="24">
        <f>COUNTIF(Questions!H:H,H180)</f>
        <v>2</v>
      </c>
      <c r="J180" s="23"/>
    </row>
    <row r="181" spans="1:10" ht="22" customHeight="1" x14ac:dyDescent="0.35">
      <c r="A181" s="22" t="s">
        <v>559</v>
      </c>
      <c r="B181" s="22"/>
      <c r="C181" s="23" t="s">
        <v>16</v>
      </c>
      <c r="D181" s="24" t="s">
        <v>556</v>
      </c>
      <c r="E181" s="24">
        <f>COUNTIF(Questions!D:D,D181)</f>
        <v>2</v>
      </c>
      <c r="F181" s="24" t="s">
        <v>560</v>
      </c>
      <c r="G181" s="24" t="s">
        <v>19</v>
      </c>
      <c r="H181" s="24" t="s">
        <v>558</v>
      </c>
      <c r="I181" s="24">
        <f>COUNTIF(Questions!H:H,H181)</f>
        <v>2</v>
      </c>
      <c r="J181" s="23"/>
    </row>
    <row r="182" spans="1:10" ht="22" customHeight="1" x14ac:dyDescent="0.35">
      <c r="A182" s="49" t="s">
        <v>561</v>
      </c>
      <c r="B182" s="49"/>
      <c r="C182" s="50" t="s">
        <v>72</v>
      </c>
      <c r="D182" s="51" t="s">
        <v>562</v>
      </c>
      <c r="E182" s="51">
        <f>COUNTIF(Questions!D:D,D182)</f>
        <v>2</v>
      </c>
      <c r="F182" s="51" t="s">
        <v>563</v>
      </c>
      <c r="G182" s="51" t="s">
        <v>2120</v>
      </c>
      <c r="H182" s="51" t="s">
        <v>564</v>
      </c>
      <c r="I182" s="51">
        <f>COUNTIF(Questions!H:H,H182)</f>
        <v>2</v>
      </c>
      <c r="J182" s="50"/>
    </row>
    <row r="183" spans="1:10" ht="22" customHeight="1" x14ac:dyDescent="0.35">
      <c r="A183" s="49" t="s">
        <v>565</v>
      </c>
      <c r="B183" s="49"/>
      <c r="C183" s="50" t="s">
        <v>72</v>
      </c>
      <c r="D183" s="51" t="s">
        <v>562</v>
      </c>
      <c r="E183" s="51">
        <f>COUNTIF(Questions!D:D,D183)</f>
        <v>2</v>
      </c>
      <c r="F183" s="51" t="s">
        <v>566</v>
      </c>
      <c r="G183" s="51" t="s">
        <v>2120</v>
      </c>
      <c r="H183" s="51" t="s">
        <v>564</v>
      </c>
      <c r="I183" s="51">
        <f>COUNTIF(Questions!H:H,H183)</f>
        <v>2</v>
      </c>
      <c r="J183" s="50"/>
    </row>
    <row r="184" spans="1:10" ht="22" customHeight="1" x14ac:dyDescent="0.35">
      <c r="A184" s="25" t="s">
        <v>567</v>
      </c>
      <c r="B184" s="25"/>
      <c r="C184" s="26" t="s">
        <v>79</v>
      </c>
      <c r="D184" s="27" t="s">
        <v>568</v>
      </c>
      <c r="E184" s="27">
        <f>COUNTIF(Questions!D:D,D184)</f>
        <v>2</v>
      </c>
      <c r="F184" s="27" t="s">
        <v>569</v>
      </c>
      <c r="G184" s="27" t="s">
        <v>2043</v>
      </c>
      <c r="H184" s="27" t="s">
        <v>570</v>
      </c>
      <c r="I184" s="27">
        <f>COUNTIF(Questions!H:H,H184)</f>
        <v>2</v>
      </c>
      <c r="J184" s="26"/>
    </row>
    <row r="185" spans="1:10" ht="22" customHeight="1" x14ac:dyDescent="0.35">
      <c r="A185" s="25" t="s">
        <v>571</v>
      </c>
      <c r="B185" s="25"/>
      <c r="C185" s="26" t="s">
        <v>79</v>
      </c>
      <c r="D185" s="27" t="s">
        <v>568</v>
      </c>
      <c r="E185" s="27">
        <f>COUNTIF(Questions!D:D,D185)</f>
        <v>2</v>
      </c>
      <c r="F185" s="27" t="s">
        <v>572</v>
      </c>
      <c r="G185" s="27" t="s">
        <v>2043</v>
      </c>
      <c r="H185" s="27" t="s">
        <v>570</v>
      </c>
      <c r="I185" s="27">
        <f>COUNTIF(Questions!H:H,H185)</f>
        <v>2</v>
      </c>
      <c r="J185" s="26"/>
    </row>
    <row r="186" spans="1:10" ht="22" customHeight="1" x14ac:dyDescent="0.35">
      <c r="A186" s="25" t="s">
        <v>573</v>
      </c>
      <c r="B186" s="25"/>
      <c r="C186" s="26" t="s">
        <v>216</v>
      </c>
      <c r="D186" s="27" t="s">
        <v>574</v>
      </c>
      <c r="E186" s="27">
        <f>COUNTIF(Questions!D:D,D186)</f>
        <v>2</v>
      </c>
      <c r="F186" s="27" t="s">
        <v>575</v>
      </c>
      <c r="G186" s="27" t="s">
        <v>2124</v>
      </c>
      <c r="H186" s="27" t="s">
        <v>576</v>
      </c>
      <c r="I186" s="27">
        <f>COUNTIF(Questions!H:H,H186)</f>
        <v>2</v>
      </c>
      <c r="J186" s="26"/>
    </row>
    <row r="187" spans="1:10" ht="22" customHeight="1" x14ac:dyDescent="0.35">
      <c r="A187" s="25" t="s">
        <v>577</v>
      </c>
      <c r="B187" s="25"/>
      <c r="C187" s="26" t="s">
        <v>216</v>
      </c>
      <c r="D187" s="27" t="s">
        <v>574</v>
      </c>
      <c r="E187" s="27">
        <f>COUNTIF(Questions!D:D,D187)</f>
        <v>2</v>
      </c>
      <c r="F187" s="27" t="s">
        <v>578</v>
      </c>
      <c r="G187" s="27" t="s">
        <v>2124</v>
      </c>
      <c r="H187" s="27" t="s">
        <v>576</v>
      </c>
      <c r="I187" s="27">
        <f>COUNTIF(Questions!H:H,H187)</f>
        <v>2</v>
      </c>
      <c r="J187" s="26"/>
    </row>
    <row r="188" spans="1:10" ht="22" customHeight="1" x14ac:dyDescent="0.35">
      <c r="A188" s="46" t="s">
        <v>579</v>
      </c>
      <c r="B188" s="46"/>
      <c r="C188" s="47" t="s">
        <v>24</v>
      </c>
      <c r="D188" s="48" t="s">
        <v>580</v>
      </c>
      <c r="E188" s="48">
        <f>COUNTIF(Questions!D:D,D188)</f>
        <v>2</v>
      </c>
      <c r="F188" s="48" t="s">
        <v>581</v>
      </c>
      <c r="G188" s="48" t="s">
        <v>27</v>
      </c>
      <c r="H188" s="48" t="s">
        <v>582</v>
      </c>
      <c r="I188" s="48">
        <f>COUNTIF(Questions!H:H,H188)</f>
        <v>2</v>
      </c>
      <c r="J188" s="47"/>
    </row>
    <row r="189" spans="1:10" ht="22" customHeight="1" x14ac:dyDescent="0.35">
      <c r="A189" s="46" t="s">
        <v>583</v>
      </c>
      <c r="B189" s="46"/>
      <c r="C189" s="47" t="s">
        <v>24</v>
      </c>
      <c r="D189" s="48" t="s">
        <v>580</v>
      </c>
      <c r="E189" s="48">
        <f>COUNTIF(Questions!D:D,D189)</f>
        <v>2</v>
      </c>
      <c r="F189" s="48" t="s">
        <v>584</v>
      </c>
      <c r="G189" s="48" t="s">
        <v>27</v>
      </c>
      <c r="H189" s="48" t="s">
        <v>582</v>
      </c>
      <c r="I189" s="48">
        <f>COUNTIF(Questions!H:H,H189)</f>
        <v>2</v>
      </c>
      <c r="J189" s="47"/>
    </row>
    <row r="190" spans="1:10" ht="22" customHeight="1" x14ac:dyDescent="0.35">
      <c r="A190" s="31" t="s">
        <v>585</v>
      </c>
      <c r="B190" s="31"/>
      <c r="C190" s="32" t="s">
        <v>176</v>
      </c>
      <c r="D190" s="33" t="s">
        <v>586</v>
      </c>
      <c r="E190" s="33">
        <f>COUNTIF(Questions!D:D,D190)</f>
        <v>2</v>
      </c>
      <c r="F190" s="33" t="s">
        <v>587</v>
      </c>
      <c r="G190" s="33" t="s">
        <v>179</v>
      </c>
      <c r="H190" s="33" t="s">
        <v>588</v>
      </c>
      <c r="I190" s="33">
        <f>COUNTIF(Questions!H:H,H190)</f>
        <v>2</v>
      </c>
      <c r="J190" s="32"/>
    </row>
    <row r="191" spans="1:10" ht="22" customHeight="1" x14ac:dyDescent="0.35">
      <c r="A191" s="31" t="s">
        <v>589</v>
      </c>
      <c r="B191" s="31"/>
      <c r="C191" s="32" t="s">
        <v>176</v>
      </c>
      <c r="D191" s="33" t="s">
        <v>586</v>
      </c>
      <c r="E191" s="33">
        <f>COUNTIF(Questions!D:D,D191)</f>
        <v>2</v>
      </c>
      <c r="F191" s="33" t="s">
        <v>590</v>
      </c>
      <c r="G191" s="33" t="s">
        <v>179</v>
      </c>
      <c r="H191" s="33" t="s">
        <v>588</v>
      </c>
      <c r="I191" s="33">
        <f>COUNTIF(Questions!H:H,H191)</f>
        <v>2</v>
      </c>
      <c r="J191" s="32"/>
    </row>
    <row r="192" spans="1:10" ht="22" customHeight="1" x14ac:dyDescent="0.35">
      <c r="A192" s="37" t="s">
        <v>591</v>
      </c>
      <c r="B192" s="37"/>
      <c r="C192" s="38" t="s">
        <v>50</v>
      </c>
      <c r="D192" s="39" t="s">
        <v>592</v>
      </c>
      <c r="E192" s="39">
        <f>COUNTIF(Questions!D:D,D192)</f>
        <v>2</v>
      </c>
      <c r="F192" s="39" t="s">
        <v>593</v>
      </c>
      <c r="G192" s="39" t="s">
        <v>50</v>
      </c>
      <c r="H192" s="39" t="s">
        <v>594</v>
      </c>
      <c r="I192" s="39">
        <f>COUNTIF(Questions!H:H,H192)</f>
        <v>2</v>
      </c>
      <c r="J192" s="38"/>
    </row>
    <row r="193" spans="1:10" ht="22" customHeight="1" x14ac:dyDescent="0.35">
      <c r="A193" s="37" t="s">
        <v>595</v>
      </c>
      <c r="B193" s="37"/>
      <c r="C193" s="38" t="s">
        <v>50</v>
      </c>
      <c r="D193" s="39" t="s">
        <v>592</v>
      </c>
      <c r="E193" s="39">
        <f>COUNTIF(Questions!D:D,D193)</f>
        <v>2</v>
      </c>
      <c r="F193" s="39" t="s">
        <v>596</v>
      </c>
      <c r="G193" s="39" t="s">
        <v>50</v>
      </c>
      <c r="H193" s="39" t="s">
        <v>594</v>
      </c>
      <c r="I193" s="39">
        <f>COUNTIF(Questions!H:H,H193)</f>
        <v>2</v>
      </c>
      <c r="J193" s="38">
        <v>23</v>
      </c>
    </row>
    <row r="194" spans="1:10" ht="22" customHeight="1" x14ac:dyDescent="0.35">
      <c r="A194" s="46" t="s">
        <v>597</v>
      </c>
      <c r="B194" s="46"/>
      <c r="C194" s="47" t="s">
        <v>24</v>
      </c>
      <c r="D194" s="48" t="s">
        <v>598</v>
      </c>
      <c r="E194" s="48">
        <f>COUNTIF(Questions!D:D,D194)</f>
        <v>2</v>
      </c>
      <c r="F194" s="48" t="s">
        <v>599</v>
      </c>
      <c r="G194" s="48" t="s">
        <v>27</v>
      </c>
      <c r="H194" s="48" t="s">
        <v>600</v>
      </c>
      <c r="I194" s="48">
        <f>COUNTIF(Questions!H:H,H194)</f>
        <v>2</v>
      </c>
      <c r="J194" s="47"/>
    </row>
    <row r="195" spans="1:10" ht="22" customHeight="1" x14ac:dyDescent="0.35">
      <c r="A195" s="46" t="s">
        <v>601</v>
      </c>
      <c r="B195" s="46"/>
      <c r="C195" s="47" t="s">
        <v>24</v>
      </c>
      <c r="D195" s="48" t="s">
        <v>598</v>
      </c>
      <c r="E195" s="48">
        <f>COUNTIF(Questions!D:D,D195)</f>
        <v>2</v>
      </c>
      <c r="F195" s="48" t="s">
        <v>602</v>
      </c>
      <c r="G195" s="48" t="s">
        <v>27</v>
      </c>
      <c r="H195" s="48" t="s">
        <v>600</v>
      </c>
      <c r="I195" s="48">
        <f>COUNTIF(Questions!H:H,H195)</f>
        <v>2</v>
      </c>
      <c r="J195" s="47"/>
    </row>
    <row r="196" spans="1:10" ht="22" customHeight="1" x14ac:dyDescent="0.35">
      <c r="A196" s="25" t="s">
        <v>603</v>
      </c>
      <c r="B196" s="25"/>
      <c r="C196" s="26" t="s">
        <v>216</v>
      </c>
      <c r="D196" s="27" t="s">
        <v>604</v>
      </c>
      <c r="E196" s="27">
        <f>COUNTIF(Questions!D:D,D196)</f>
        <v>2</v>
      </c>
      <c r="F196" s="27" t="s">
        <v>605</v>
      </c>
      <c r="G196" s="27" t="s">
        <v>2124</v>
      </c>
      <c r="H196" s="27" t="s">
        <v>606</v>
      </c>
      <c r="I196" s="27">
        <f>COUNTIF(Questions!H:H,H196)</f>
        <v>2</v>
      </c>
      <c r="J196" s="26"/>
    </row>
    <row r="197" spans="1:10" ht="22" customHeight="1" x14ac:dyDescent="0.35">
      <c r="A197" s="25" t="s">
        <v>607</v>
      </c>
      <c r="B197" s="25"/>
      <c r="C197" s="26" t="s">
        <v>216</v>
      </c>
      <c r="D197" s="27" t="s">
        <v>604</v>
      </c>
      <c r="E197" s="27">
        <f>COUNTIF(Questions!D:D,D197)</f>
        <v>2</v>
      </c>
      <c r="F197" s="27" t="s">
        <v>608</v>
      </c>
      <c r="G197" s="27" t="s">
        <v>2124</v>
      </c>
      <c r="H197" s="27" t="s">
        <v>606</v>
      </c>
      <c r="I197" s="27">
        <f>COUNTIF(Questions!H:H,H197)</f>
        <v>2</v>
      </c>
      <c r="J197" s="26">
        <v>23</v>
      </c>
    </row>
    <row r="198" spans="1:10" ht="22" customHeight="1" x14ac:dyDescent="0.35">
      <c r="A198" s="49" t="s">
        <v>609</v>
      </c>
      <c r="B198" s="49"/>
      <c r="C198" s="50" t="s">
        <v>72</v>
      </c>
      <c r="D198" s="51" t="s">
        <v>610</v>
      </c>
      <c r="E198" s="51">
        <f>COUNTIF(Questions!D:D,D198)</f>
        <v>2</v>
      </c>
      <c r="F198" s="51" t="s">
        <v>611</v>
      </c>
      <c r="G198" s="51" t="s">
        <v>2120</v>
      </c>
      <c r="H198" s="51" t="s">
        <v>612</v>
      </c>
      <c r="I198" s="51">
        <f>COUNTIF(Questions!H:H,H198)</f>
        <v>2</v>
      </c>
      <c r="J198" s="50"/>
    </row>
    <row r="199" spans="1:10" ht="22" customHeight="1" x14ac:dyDescent="0.35">
      <c r="A199" s="49" t="s">
        <v>613</v>
      </c>
      <c r="B199" s="49"/>
      <c r="C199" s="50" t="s">
        <v>72</v>
      </c>
      <c r="D199" s="51" t="s">
        <v>610</v>
      </c>
      <c r="E199" s="51">
        <f>COUNTIF(Questions!D:D,D199)</f>
        <v>2</v>
      </c>
      <c r="F199" s="51" t="s">
        <v>614</v>
      </c>
      <c r="G199" s="51" t="s">
        <v>2120</v>
      </c>
      <c r="H199" s="51" t="s">
        <v>612</v>
      </c>
      <c r="I199" s="51">
        <f>COUNTIF(Questions!H:H,H199)</f>
        <v>2</v>
      </c>
      <c r="J199" s="50"/>
    </row>
    <row r="200" spans="1:10" ht="22" customHeight="1" x14ac:dyDescent="0.35">
      <c r="A200" s="49" t="s">
        <v>615</v>
      </c>
      <c r="B200" s="49"/>
      <c r="C200" s="50" t="s">
        <v>72</v>
      </c>
      <c r="D200" s="51" t="s">
        <v>616</v>
      </c>
      <c r="E200" s="51">
        <f>COUNTIF(Questions!D:D,D200)</f>
        <v>2</v>
      </c>
      <c r="F200" s="51" t="s">
        <v>617</v>
      </c>
      <c r="G200" s="51" t="s">
        <v>2120</v>
      </c>
      <c r="H200" s="51" t="s">
        <v>618</v>
      </c>
      <c r="I200" s="51">
        <f>COUNTIF(Questions!H:H,H200)</f>
        <v>2</v>
      </c>
      <c r="J200" s="50"/>
    </row>
    <row r="201" spans="1:10" ht="22" customHeight="1" x14ac:dyDescent="0.35">
      <c r="A201" s="49" t="s">
        <v>619</v>
      </c>
      <c r="B201" s="49"/>
      <c r="C201" s="50" t="s">
        <v>72</v>
      </c>
      <c r="D201" s="51" t="s">
        <v>616</v>
      </c>
      <c r="E201" s="51">
        <f>COUNTIF(Questions!D:D,D201)</f>
        <v>2</v>
      </c>
      <c r="F201" s="51" t="s">
        <v>620</v>
      </c>
      <c r="G201" s="51" t="s">
        <v>2120</v>
      </c>
      <c r="H201" s="51" t="s">
        <v>618</v>
      </c>
      <c r="I201" s="51">
        <f>COUNTIF(Questions!H:H,H201)</f>
        <v>2</v>
      </c>
      <c r="J201" s="50"/>
    </row>
    <row r="202" spans="1:10" ht="22" customHeight="1" x14ac:dyDescent="0.35">
      <c r="A202" s="25" t="s">
        <v>621</v>
      </c>
      <c r="B202" s="25"/>
      <c r="C202" s="26" t="s">
        <v>216</v>
      </c>
      <c r="D202" s="27" t="s">
        <v>622</v>
      </c>
      <c r="E202" s="27">
        <f>COUNTIF(Questions!D:D,D202)</f>
        <v>2</v>
      </c>
      <c r="F202" s="27" t="s">
        <v>623</v>
      </c>
      <c r="G202" s="27" t="s">
        <v>2124</v>
      </c>
      <c r="H202" s="27" t="s">
        <v>624</v>
      </c>
      <c r="I202" s="27">
        <f>COUNTIF(Questions!H:H,H202)</f>
        <v>2</v>
      </c>
      <c r="J202" s="26"/>
    </row>
    <row r="203" spans="1:10" ht="22" customHeight="1" x14ac:dyDescent="0.35">
      <c r="A203" s="25" t="s">
        <v>625</v>
      </c>
      <c r="B203" s="25"/>
      <c r="C203" s="26" t="s">
        <v>216</v>
      </c>
      <c r="D203" s="27" t="s">
        <v>622</v>
      </c>
      <c r="E203" s="27">
        <f>COUNTIF(Questions!D:D,D203)</f>
        <v>2</v>
      </c>
      <c r="F203" s="27" t="s">
        <v>626</v>
      </c>
      <c r="G203" s="27" t="s">
        <v>2124</v>
      </c>
      <c r="H203" s="27" t="s">
        <v>624</v>
      </c>
      <c r="I203" s="27">
        <f>COUNTIF(Questions!H:H,H203)</f>
        <v>2</v>
      </c>
      <c r="J203" s="26"/>
    </row>
    <row r="204" spans="1:10" ht="22" customHeight="1" x14ac:dyDescent="0.35">
      <c r="A204" s="28" t="s">
        <v>627</v>
      </c>
      <c r="B204" s="28"/>
      <c r="C204" s="29" t="s">
        <v>176</v>
      </c>
      <c r="D204" s="30" t="s">
        <v>628</v>
      </c>
      <c r="E204" s="30">
        <f>COUNTIF(Questions!D:D,D204)</f>
        <v>2</v>
      </c>
      <c r="F204" s="30" t="s">
        <v>629</v>
      </c>
      <c r="G204" s="30" t="s">
        <v>179</v>
      </c>
      <c r="H204" s="30" t="s">
        <v>630</v>
      </c>
      <c r="I204" s="30">
        <f>COUNTIF(Questions!H:H,H204)</f>
        <v>2</v>
      </c>
      <c r="J204" s="29"/>
    </row>
    <row r="205" spans="1:10" ht="22" customHeight="1" x14ac:dyDescent="0.35">
      <c r="A205" s="28" t="s">
        <v>631</v>
      </c>
      <c r="B205" s="28"/>
      <c r="C205" s="29" t="s">
        <v>176</v>
      </c>
      <c r="D205" s="30" t="s">
        <v>628</v>
      </c>
      <c r="E205" s="30">
        <f>COUNTIF(Questions!D:D,D205)</f>
        <v>2</v>
      </c>
      <c r="F205" s="30" t="s">
        <v>632</v>
      </c>
      <c r="G205" s="30" t="s">
        <v>179</v>
      </c>
      <c r="H205" s="30" t="s">
        <v>630</v>
      </c>
      <c r="I205" s="30">
        <f>COUNTIF(Questions!H:H,H205)</f>
        <v>2</v>
      </c>
      <c r="J205" s="29"/>
    </row>
    <row r="206" spans="1:10" ht="22" customHeight="1" x14ac:dyDescent="0.35">
      <c r="A206" s="22" t="s">
        <v>633</v>
      </c>
      <c r="B206" s="22"/>
      <c r="C206" s="23" t="s">
        <v>16</v>
      </c>
      <c r="D206" s="24" t="s">
        <v>634</v>
      </c>
      <c r="E206" s="24">
        <f>COUNTIF(Questions!D:D,D206)</f>
        <v>2</v>
      </c>
      <c r="F206" s="24" t="s">
        <v>635</v>
      </c>
      <c r="G206" s="24" t="s">
        <v>19</v>
      </c>
      <c r="H206" s="24" t="s">
        <v>636</v>
      </c>
      <c r="I206" s="24">
        <f>COUNTIF(Questions!H:H,H206)</f>
        <v>2</v>
      </c>
      <c r="J206" s="23"/>
    </row>
    <row r="207" spans="1:10" ht="22" customHeight="1" x14ac:dyDescent="0.35">
      <c r="A207" s="22" t="s">
        <v>637</v>
      </c>
      <c r="B207" s="22"/>
      <c r="C207" s="23" t="s">
        <v>16</v>
      </c>
      <c r="D207" s="24" t="s">
        <v>634</v>
      </c>
      <c r="E207" s="24">
        <f>COUNTIF(Questions!D:D,D207)</f>
        <v>2</v>
      </c>
      <c r="F207" s="24" t="s">
        <v>638</v>
      </c>
      <c r="G207" s="24" t="s">
        <v>19</v>
      </c>
      <c r="H207" s="24" t="s">
        <v>636</v>
      </c>
      <c r="I207" s="24">
        <f>COUNTIF(Questions!H:H,H207)</f>
        <v>2</v>
      </c>
      <c r="J207" s="23"/>
    </row>
    <row r="208" spans="1:10" ht="22" customHeight="1" x14ac:dyDescent="0.35">
      <c r="A208" s="13" t="s">
        <v>639</v>
      </c>
      <c r="B208" s="13"/>
      <c r="C208" s="14" t="s">
        <v>79</v>
      </c>
      <c r="D208" s="15" t="s">
        <v>640</v>
      </c>
      <c r="E208" s="15">
        <f>COUNTIF(Questions!D:D,D208)</f>
        <v>2</v>
      </c>
      <c r="F208" s="15" t="s">
        <v>641</v>
      </c>
      <c r="G208" s="15" t="s">
        <v>2043</v>
      </c>
      <c r="H208" s="15" t="s">
        <v>642</v>
      </c>
      <c r="I208" s="15">
        <f>COUNTIF(Questions!H:H,H208)</f>
        <v>2</v>
      </c>
      <c r="J208" s="14"/>
    </row>
    <row r="209" spans="1:10" ht="22" customHeight="1" x14ac:dyDescent="0.35">
      <c r="A209" s="13" t="s">
        <v>643</v>
      </c>
      <c r="B209" s="13"/>
      <c r="C209" s="14" t="s">
        <v>79</v>
      </c>
      <c r="D209" s="15" t="s">
        <v>640</v>
      </c>
      <c r="E209" s="15">
        <f>COUNTIF(Questions!D:D,D209)</f>
        <v>2</v>
      </c>
      <c r="F209" s="15" t="s">
        <v>644</v>
      </c>
      <c r="G209" s="15" t="s">
        <v>2043</v>
      </c>
      <c r="H209" s="15" t="s">
        <v>642</v>
      </c>
      <c r="I209" s="15">
        <f>COUNTIF(Questions!H:H,H209)</f>
        <v>2</v>
      </c>
      <c r="J209" s="14"/>
    </row>
    <row r="210" spans="1:10" ht="22" customHeight="1" x14ac:dyDescent="0.35">
      <c r="A210" s="13" t="s">
        <v>645</v>
      </c>
      <c r="B210" s="13"/>
      <c r="C210" s="14" t="s">
        <v>79</v>
      </c>
      <c r="D210" s="15" t="s">
        <v>646</v>
      </c>
      <c r="E210" s="15">
        <f>COUNTIF(Questions!D:D,D210)</f>
        <v>2</v>
      </c>
      <c r="F210" s="15" t="s">
        <v>647</v>
      </c>
      <c r="G210" s="15" t="s">
        <v>2043</v>
      </c>
      <c r="H210" s="15" t="s">
        <v>648</v>
      </c>
      <c r="I210" s="15">
        <f>COUNTIF(Questions!H:H,H210)</f>
        <v>2</v>
      </c>
      <c r="J210" s="14"/>
    </row>
    <row r="211" spans="1:10" ht="22" customHeight="1" x14ac:dyDescent="0.35">
      <c r="A211" s="13" t="s">
        <v>649</v>
      </c>
      <c r="B211" s="13"/>
      <c r="C211" s="14" t="s">
        <v>79</v>
      </c>
      <c r="D211" s="15" t="s">
        <v>646</v>
      </c>
      <c r="E211" s="15">
        <f>COUNTIF(Questions!D:D,D211)</f>
        <v>2</v>
      </c>
      <c r="F211" s="15" t="s">
        <v>650</v>
      </c>
      <c r="G211" s="15" t="s">
        <v>2043</v>
      </c>
      <c r="H211" s="15" t="s">
        <v>648</v>
      </c>
      <c r="I211" s="15">
        <f>COUNTIF(Questions!H:H,H211)</f>
        <v>2</v>
      </c>
      <c r="J211" s="14"/>
    </row>
    <row r="212" spans="1:10" ht="22" customHeight="1" x14ac:dyDescent="0.35">
      <c r="A212" s="52" t="s">
        <v>651</v>
      </c>
      <c r="B212" s="52"/>
      <c r="C212" s="53" t="s">
        <v>92</v>
      </c>
      <c r="D212" s="54" t="s">
        <v>652</v>
      </c>
      <c r="E212" s="54">
        <f>COUNTIF(Questions!D:D,D212)</f>
        <v>2</v>
      </c>
      <c r="F212" s="54" t="s">
        <v>653</v>
      </c>
      <c r="G212" s="54" t="s">
        <v>2125</v>
      </c>
      <c r="H212" s="54" t="s">
        <v>654</v>
      </c>
      <c r="I212" s="54">
        <f>COUNTIF(Questions!H:H,H212)</f>
        <v>2</v>
      </c>
      <c r="J212" s="53"/>
    </row>
    <row r="213" spans="1:10" ht="22" customHeight="1" x14ac:dyDescent="0.35">
      <c r="A213" s="52" t="s">
        <v>655</v>
      </c>
      <c r="B213" s="52"/>
      <c r="C213" s="53" t="s">
        <v>92</v>
      </c>
      <c r="D213" s="54" t="s">
        <v>652</v>
      </c>
      <c r="E213" s="54">
        <f>COUNTIF(Questions!D:D,D213)</f>
        <v>2</v>
      </c>
      <c r="F213" s="54" t="s">
        <v>656</v>
      </c>
      <c r="G213" s="54" t="s">
        <v>2125</v>
      </c>
      <c r="H213" s="54" t="s">
        <v>654</v>
      </c>
      <c r="I213" s="54">
        <f>COUNTIF(Questions!H:H,H213)</f>
        <v>2</v>
      </c>
      <c r="J213" s="53"/>
    </row>
    <row r="214" spans="1:10" ht="22" customHeight="1" x14ac:dyDescent="0.35">
      <c r="A214" s="43" t="s">
        <v>657</v>
      </c>
      <c r="B214" s="43"/>
      <c r="C214" s="44" t="s">
        <v>8</v>
      </c>
      <c r="D214" s="45" t="s">
        <v>658</v>
      </c>
      <c r="E214" s="45">
        <f>COUNTIF(Questions!D:D,D214)</f>
        <v>2</v>
      </c>
      <c r="F214" s="45" t="s">
        <v>659</v>
      </c>
      <c r="G214" s="45" t="s">
        <v>11</v>
      </c>
      <c r="H214" s="45" t="s">
        <v>660</v>
      </c>
      <c r="I214" s="45">
        <f>COUNTIF(Questions!H:H,H214)</f>
        <v>2</v>
      </c>
      <c r="J214" s="44"/>
    </row>
    <row r="215" spans="1:10" ht="22" customHeight="1" x14ac:dyDescent="0.35">
      <c r="A215" s="43" t="s">
        <v>661</v>
      </c>
      <c r="B215" s="43"/>
      <c r="C215" s="44" t="s">
        <v>8</v>
      </c>
      <c r="D215" s="45" t="s">
        <v>658</v>
      </c>
      <c r="E215" s="45">
        <f>COUNTIF(Questions!D:D,D215)</f>
        <v>2</v>
      </c>
      <c r="F215" s="45" t="s">
        <v>662</v>
      </c>
      <c r="G215" s="45" t="s">
        <v>11</v>
      </c>
      <c r="H215" s="45" t="s">
        <v>660</v>
      </c>
      <c r="I215" s="45">
        <f>COUNTIF(Questions!H:H,H215)</f>
        <v>2</v>
      </c>
      <c r="J215" s="44"/>
    </row>
    <row r="216" spans="1:10" ht="22" customHeight="1" x14ac:dyDescent="0.35">
      <c r="A216" s="19" t="s">
        <v>663</v>
      </c>
      <c r="B216" s="19"/>
      <c r="C216" s="20" t="s">
        <v>64</v>
      </c>
      <c r="D216" s="21" t="s">
        <v>664</v>
      </c>
      <c r="E216" s="21">
        <f>COUNTIF(Questions!D:D,D216)</f>
        <v>2</v>
      </c>
      <c r="F216" s="21" t="s">
        <v>665</v>
      </c>
      <c r="G216" s="21" t="s">
        <v>67</v>
      </c>
      <c r="H216" s="21" t="s">
        <v>664</v>
      </c>
      <c r="I216" s="21">
        <f>COUNTIF(Questions!H:H,H216)</f>
        <v>2</v>
      </c>
      <c r="J216" s="20"/>
    </row>
    <row r="217" spans="1:10" ht="22" customHeight="1" x14ac:dyDescent="0.35">
      <c r="A217" s="19" t="s">
        <v>666</v>
      </c>
      <c r="B217" s="19"/>
      <c r="C217" s="20" t="s">
        <v>64</v>
      </c>
      <c r="D217" s="21" t="s">
        <v>664</v>
      </c>
      <c r="E217" s="21">
        <f>COUNTIF(Questions!D:D,D217)</f>
        <v>2</v>
      </c>
      <c r="F217" s="21" t="s">
        <v>667</v>
      </c>
      <c r="G217" s="21" t="s">
        <v>67</v>
      </c>
      <c r="H217" s="21" t="s">
        <v>664</v>
      </c>
      <c r="I217" s="21">
        <f>COUNTIF(Questions!H:H,H217)</f>
        <v>2</v>
      </c>
      <c r="J217" s="20"/>
    </row>
    <row r="218" spans="1:10" ht="22" customHeight="1" x14ac:dyDescent="0.35">
      <c r="A218" s="6" t="s">
        <v>668</v>
      </c>
      <c r="B218" s="6"/>
      <c r="C218" s="7" t="s">
        <v>50</v>
      </c>
      <c r="D218" s="8" t="s">
        <v>669</v>
      </c>
      <c r="E218" s="8">
        <f>COUNTIF(Questions!D:D,D218)</f>
        <v>2</v>
      </c>
      <c r="F218" s="8" t="s">
        <v>670</v>
      </c>
      <c r="G218" s="8" t="s">
        <v>50</v>
      </c>
      <c r="H218" s="8" t="s">
        <v>671</v>
      </c>
      <c r="I218" s="8">
        <f>COUNTIF(Questions!H:H,H218)</f>
        <v>2</v>
      </c>
      <c r="J218" s="7"/>
    </row>
    <row r="219" spans="1:10" ht="22" customHeight="1" x14ac:dyDescent="0.35">
      <c r="A219" s="6" t="s">
        <v>672</v>
      </c>
      <c r="B219" s="6"/>
      <c r="C219" s="7" t="s">
        <v>50</v>
      </c>
      <c r="D219" s="8" t="s">
        <v>669</v>
      </c>
      <c r="E219" s="8">
        <f>COUNTIF(Questions!D:D,D219)</f>
        <v>2</v>
      </c>
      <c r="F219" s="8" t="s">
        <v>673</v>
      </c>
      <c r="G219" s="8" t="s">
        <v>50</v>
      </c>
      <c r="H219" s="8" t="s">
        <v>671</v>
      </c>
      <c r="I219" s="8">
        <f>COUNTIF(Questions!H:H,H219)</f>
        <v>2</v>
      </c>
      <c r="J219" s="7"/>
    </row>
    <row r="220" spans="1:10" ht="22" customHeight="1" x14ac:dyDescent="0.35">
      <c r="A220" s="16" t="s">
        <v>674</v>
      </c>
      <c r="B220" s="16"/>
      <c r="C220" s="17" t="s">
        <v>92</v>
      </c>
      <c r="D220" s="18" t="s">
        <v>675</v>
      </c>
      <c r="E220" s="18">
        <f>COUNTIF(Questions!D:D,D220)</f>
        <v>2</v>
      </c>
      <c r="F220" s="18" t="s">
        <v>676</v>
      </c>
      <c r="G220" s="18" t="s">
        <v>2125</v>
      </c>
      <c r="H220" s="18" t="s">
        <v>675</v>
      </c>
      <c r="I220" s="18">
        <f>COUNTIF(Questions!H:H,H220)</f>
        <v>2</v>
      </c>
      <c r="J220" s="17"/>
    </row>
    <row r="221" spans="1:10" ht="22" customHeight="1" x14ac:dyDescent="0.35">
      <c r="A221" s="16" t="s">
        <v>677</v>
      </c>
      <c r="B221" s="16"/>
      <c r="C221" s="17" t="s">
        <v>92</v>
      </c>
      <c r="D221" s="18" t="s">
        <v>675</v>
      </c>
      <c r="E221" s="18">
        <f>COUNTIF(Questions!D:D,D221)</f>
        <v>2</v>
      </c>
      <c r="F221" s="18" t="s">
        <v>678</v>
      </c>
      <c r="G221" s="18" t="s">
        <v>2125</v>
      </c>
      <c r="H221" s="18" t="s">
        <v>675</v>
      </c>
      <c r="I221" s="18">
        <f>COUNTIF(Questions!H:H,H221)</f>
        <v>2</v>
      </c>
      <c r="J221" s="17"/>
    </row>
    <row r="222" spans="1:10" ht="22" customHeight="1" x14ac:dyDescent="0.35">
      <c r="A222" s="19" t="s">
        <v>679</v>
      </c>
      <c r="B222" s="19"/>
      <c r="C222" s="20" t="s">
        <v>64</v>
      </c>
      <c r="D222" s="21" t="s">
        <v>680</v>
      </c>
      <c r="E222" s="21">
        <f>COUNTIF(Questions!D:D,D222)</f>
        <v>2</v>
      </c>
      <c r="F222" s="21" t="s">
        <v>681</v>
      </c>
      <c r="G222" s="21" t="s">
        <v>67</v>
      </c>
      <c r="H222" s="21" t="s">
        <v>682</v>
      </c>
      <c r="I222" s="21">
        <f>COUNTIF(Questions!H:H,H222)</f>
        <v>2</v>
      </c>
      <c r="J222" s="20"/>
    </row>
    <row r="223" spans="1:10" ht="22" customHeight="1" x14ac:dyDescent="0.35">
      <c r="A223" s="19" t="s">
        <v>683</v>
      </c>
      <c r="B223" s="19"/>
      <c r="C223" s="20" t="s">
        <v>64</v>
      </c>
      <c r="D223" s="21" t="s">
        <v>680</v>
      </c>
      <c r="E223" s="21">
        <f>COUNTIF(Questions!D:D,D223)</f>
        <v>2</v>
      </c>
      <c r="F223" s="21" t="s">
        <v>684</v>
      </c>
      <c r="G223" s="21" t="s">
        <v>67</v>
      </c>
      <c r="H223" s="21" t="s">
        <v>682</v>
      </c>
      <c r="I223" s="21">
        <f>COUNTIF(Questions!H:H,H223)</f>
        <v>2</v>
      </c>
      <c r="J223" s="20"/>
    </row>
    <row r="224" spans="1:10" ht="22" customHeight="1" x14ac:dyDescent="0.35">
      <c r="A224" s="16" t="s">
        <v>685</v>
      </c>
      <c r="B224" s="16"/>
      <c r="C224" s="17" t="s">
        <v>145</v>
      </c>
      <c r="D224" s="18" t="s">
        <v>686</v>
      </c>
      <c r="E224" s="18">
        <f>COUNTIF(Questions!D:D,D224)</f>
        <v>2</v>
      </c>
      <c r="F224" s="18" t="s">
        <v>687</v>
      </c>
      <c r="G224" s="18" t="s">
        <v>2127</v>
      </c>
      <c r="H224" s="18" t="s">
        <v>686</v>
      </c>
      <c r="I224" s="18">
        <f>COUNTIF(Questions!H:H,H224)</f>
        <v>2</v>
      </c>
      <c r="J224" s="17"/>
    </row>
    <row r="225" spans="1:10" ht="22" customHeight="1" x14ac:dyDescent="0.35">
      <c r="A225" s="16" t="s">
        <v>688</v>
      </c>
      <c r="B225" s="16"/>
      <c r="C225" s="17" t="s">
        <v>145</v>
      </c>
      <c r="D225" s="18" t="s">
        <v>686</v>
      </c>
      <c r="E225" s="18">
        <f>COUNTIF(Questions!D:D,D225)</f>
        <v>2</v>
      </c>
      <c r="F225" s="18" t="s">
        <v>689</v>
      </c>
      <c r="G225" s="18" t="s">
        <v>2127</v>
      </c>
      <c r="H225" s="18" t="s">
        <v>686</v>
      </c>
      <c r="I225" s="18">
        <f>COUNTIF(Questions!H:H,H225)</f>
        <v>2</v>
      </c>
      <c r="J225" s="17"/>
    </row>
    <row r="226" spans="1:10" ht="22" customHeight="1" x14ac:dyDescent="0.35">
      <c r="A226" s="25" t="s">
        <v>690</v>
      </c>
      <c r="B226" s="25"/>
      <c r="C226" s="26" t="s">
        <v>216</v>
      </c>
      <c r="D226" s="27" t="s">
        <v>691</v>
      </c>
      <c r="E226" s="27">
        <f>COUNTIF(Questions!D:D,D226)</f>
        <v>2</v>
      </c>
      <c r="F226" s="27" t="s">
        <v>692</v>
      </c>
      <c r="G226" s="27" t="s">
        <v>2124</v>
      </c>
      <c r="H226" s="27" t="s">
        <v>693</v>
      </c>
      <c r="I226" s="27">
        <f>COUNTIF(Questions!H:H,H226)</f>
        <v>2</v>
      </c>
      <c r="J226" s="26"/>
    </row>
    <row r="227" spans="1:10" ht="22" customHeight="1" x14ac:dyDescent="0.35">
      <c r="A227" s="25" t="s">
        <v>694</v>
      </c>
      <c r="B227" s="25"/>
      <c r="C227" s="26" t="s">
        <v>216</v>
      </c>
      <c r="D227" s="27" t="s">
        <v>691</v>
      </c>
      <c r="E227" s="27">
        <f>COUNTIF(Questions!D:D,D227)</f>
        <v>2</v>
      </c>
      <c r="F227" s="27" t="s">
        <v>695</v>
      </c>
      <c r="G227" s="27" t="s">
        <v>2124</v>
      </c>
      <c r="H227" s="27" t="s">
        <v>693</v>
      </c>
      <c r="I227" s="27">
        <f>COUNTIF(Questions!H:H,H227)</f>
        <v>2</v>
      </c>
      <c r="J227" s="26"/>
    </row>
    <row r="228" spans="1:10" ht="22" customHeight="1" x14ac:dyDescent="0.35">
      <c r="A228" s="22" t="s">
        <v>696</v>
      </c>
      <c r="B228" s="22"/>
      <c r="C228" s="23" t="s">
        <v>16</v>
      </c>
      <c r="D228" s="24" t="s">
        <v>697</v>
      </c>
      <c r="E228" s="24">
        <f>COUNTIF(Questions!D:D,D228)</f>
        <v>2</v>
      </c>
      <c r="F228" s="24" t="s">
        <v>698</v>
      </c>
      <c r="G228" s="24" t="s">
        <v>19</v>
      </c>
      <c r="H228" s="24" t="s">
        <v>699</v>
      </c>
      <c r="I228" s="24">
        <f>COUNTIF(Questions!H:H,H228)</f>
        <v>2</v>
      </c>
      <c r="J228" s="23"/>
    </row>
    <row r="229" spans="1:10" ht="22" customHeight="1" x14ac:dyDescent="0.35">
      <c r="A229" s="22" t="s">
        <v>700</v>
      </c>
      <c r="B229" s="22"/>
      <c r="C229" s="23" t="s">
        <v>16</v>
      </c>
      <c r="D229" s="24" t="s">
        <v>697</v>
      </c>
      <c r="E229" s="24">
        <f>COUNTIF(Questions!D:D,D229)</f>
        <v>2</v>
      </c>
      <c r="F229" s="24" t="s">
        <v>701</v>
      </c>
      <c r="G229" s="24" t="s">
        <v>19</v>
      </c>
      <c r="H229" s="24" t="s">
        <v>699</v>
      </c>
      <c r="I229" s="24">
        <f>COUNTIF(Questions!H:H,H229)</f>
        <v>2</v>
      </c>
      <c r="J229" s="23"/>
    </row>
    <row r="230" spans="1:10" ht="22" customHeight="1" x14ac:dyDescent="0.35">
      <c r="A230" s="6" t="s">
        <v>702</v>
      </c>
      <c r="B230" s="6"/>
      <c r="C230" s="7" t="s">
        <v>50</v>
      </c>
      <c r="D230" s="8" t="s">
        <v>703</v>
      </c>
      <c r="E230" s="8">
        <f>COUNTIF(Questions!D:D,D230)</f>
        <v>2</v>
      </c>
      <c r="F230" s="8" t="s">
        <v>704</v>
      </c>
      <c r="G230" s="8" t="s">
        <v>50</v>
      </c>
      <c r="H230" s="103" t="s">
        <v>2178</v>
      </c>
      <c r="I230" s="8">
        <f>COUNTIF(Questions!H:H,H230)</f>
        <v>2</v>
      </c>
      <c r="J230" s="7"/>
    </row>
    <row r="231" spans="1:10" ht="22" customHeight="1" x14ac:dyDescent="0.35">
      <c r="A231" s="6" t="s">
        <v>705</v>
      </c>
      <c r="B231" s="6"/>
      <c r="C231" s="7" t="s">
        <v>50</v>
      </c>
      <c r="D231" s="8" t="s">
        <v>703</v>
      </c>
      <c r="E231" s="8">
        <f>COUNTIF(Questions!D:D,D231)</f>
        <v>2</v>
      </c>
      <c r="F231" s="8" t="s">
        <v>706</v>
      </c>
      <c r="G231" s="8" t="s">
        <v>50</v>
      </c>
      <c r="H231" s="103" t="s">
        <v>2178</v>
      </c>
      <c r="I231" s="8">
        <f>COUNTIF(Questions!H:H,H231)</f>
        <v>2</v>
      </c>
      <c r="J231" s="7"/>
    </row>
    <row r="232" spans="1:10" ht="22" customHeight="1" x14ac:dyDescent="0.35">
      <c r="A232" s="37" t="s">
        <v>707</v>
      </c>
      <c r="B232" s="37"/>
      <c r="C232" s="38" t="s">
        <v>57</v>
      </c>
      <c r="D232" s="39" t="s">
        <v>708</v>
      </c>
      <c r="E232" s="39">
        <f>COUNTIF(Questions!D:D,D232)</f>
        <v>2</v>
      </c>
      <c r="F232" s="39" t="s">
        <v>709</v>
      </c>
      <c r="G232" s="39" t="s">
        <v>2121</v>
      </c>
      <c r="H232" s="39" t="s">
        <v>710</v>
      </c>
      <c r="I232" s="39">
        <f>COUNTIF(Questions!H:H,H232)</f>
        <v>2</v>
      </c>
      <c r="J232" s="38"/>
    </row>
    <row r="233" spans="1:10" ht="22" customHeight="1" x14ac:dyDescent="0.35">
      <c r="A233" s="37" t="s">
        <v>711</v>
      </c>
      <c r="B233" s="37"/>
      <c r="C233" s="38" t="s">
        <v>57</v>
      </c>
      <c r="D233" s="39" t="s">
        <v>708</v>
      </c>
      <c r="E233" s="39">
        <f>COUNTIF(Questions!D:D,D233)</f>
        <v>2</v>
      </c>
      <c r="F233" s="39" t="s">
        <v>712</v>
      </c>
      <c r="G233" s="39" t="s">
        <v>2121</v>
      </c>
      <c r="H233" s="39" t="s">
        <v>710</v>
      </c>
      <c r="I233" s="39">
        <f>COUNTIF(Questions!H:H,H233)</f>
        <v>2</v>
      </c>
      <c r="J233" s="38"/>
    </row>
    <row r="234" spans="1:10" ht="22" customHeight="1" x14ac:dyDescent="0.35">
      <c r="A234" s="37" t="s">
        <v>713</v>
      </c>
      <c r="B234" s="37"/>
      <c r="C234" s="38" t="s">
        <v>57</v>
      </c>
      <c r="D234" s="39" t="s">
        <v>714</v>
      </c>
      <c r="E234" s="39">
        <f>COUNTIF(Questions!D:D,D234)</f>
        <v>2</v>
      </c>
      <c r="F234" s="39" t="s">
        <v>715</v>
      </c>
      <c r="G234" s="39" t="s">
        <v>2121</v>
      </c>
      <c r="H234" s="39" t="s">
        <v>716</v>
      </c>
      <c r="I234" s="39">
        <f>COUNTIF(Questions!H:H,H234)</f>
        <v>2</v>
      </c>
      <c r="J234" s="38"/>
    </row>
    <row r="235" spans="1:10" ht="22" customHeight="1" x14ac:dyDescent="0.35">
      <c r="A235" s="37" t="s">
        <v>717</v>
      </c>
      <c r="B235" s="37"/>
      <c r="C235" s="38" t="s">
        <v>57</v>
      </c>
      <c r="D235" s="39" t="s">
        <v>714</v>
      </c>
      <c r="E235" s="39">
        <f>COUNTIF(Questions!D:D,D235)</f>
        <v>2</v>
      </c>
      <c r="F235" s="39" t="s">
        <v>718</v>
      </c>
      <c r="G235" s="39" t="s">
        <v>2121</v>
      </c>
      <c r="H235" s="39" t="s">
        <v>716</v>
      </c>
      <c r="I235" s="39">
        <f>COUNTIF(Questions!H:H,H235)</f>
        <v>2</v>
      </c>
      <c r="J235" s="38"/>
    </row>
    <row r="236" spans="1:10" ht="22" customHeight="1" x14ac:dyDescent="0.35">
      <c r="A236" s="13" t="s">
        <v>719</v>
      </c>
      <c r="B236" s="13"/>
      <c r="C236" s="14" t="s">
        <v>79</v>
      </c>
      <c r="D236" s="15" t="s">
        <v>720</v>
      </c>
      <c r="E236" s="15">
        <f>COUNTIF(Questions!D:D,D236)</f>
        <v>2</v>
      </c>
      <c r="F236" s="15" t="s">
        <v>721</v>
      </c>
      <c r="G236" s="15" t="s">
        <v>2043</v>
      </c>
      <c r="H236" s="15" t="s">
        <v>722</v>
      </c>
      <c r="I236" s="15">
        <f>COUNTIF(Questions!H:H,H236)</f>
        <v>2</v>
      </c>
      <c r="J236" s="14"/>
    </row>
    <row r="237" spans="1:10" ht="22" customHeight="1" x14ac:dyDescent="0.35">
      <c r="A237" s="13" t="s">
        <v>723</v>
      </c>
      <c r="B237" s="13"/>
      <c r="C237" s="14" t="s">
        <v>79</v>
      </c>
      <c r="D237" s="15" t="s">
        <v>720</v>
      </c>
      <c r="E237" s="15">
        <f>COUNTIF(Questions!D:D,D237)</f>
        <v>2</v>
      </c>
      <c r="F237" s="15" t="s">
        <v>724</v>
      </c>
      <c r="G237" s="15" t="s">
        <v>2043</v>
      </c>
      <c r="H237" s="15" t="s">
        <v>722</v>
      </c>
      <c r="I237" s="15">
        <f>COUNTIF(Questions!H:H,H237)</f>
        <v>2</v>
      </c>
      <c r="J237" s="14"/>
    </row>
    <row r="238" spans="1:10" ht="22" customHeight="1" x14ac:dyDescent="0.35">
      <c r="A238" s="52" t="s">
        <v>725</v>
      </c>
      <c r="B238" s="52"/>
      <c r="C238" s="53" t="s">
        <v>92</v>
      </c>
      <c r="D238" s="54" t="s">
        <v>726</v>
      </c>
      <c r="E238" s="54">
        <f>COUNTIF(Questions!D:D,D238)</f>
        <v>2</v>
      </c>
      <c r="F238" s="54" t="s">
        <v>727</v>
      </c>
      <c r="G238" s="54" t="s">
        <v>2125</v>
      </c>
      <c r="H238" s="54" t="s">
        <v>728</v>
      </c>
      <c r="I238" s="54">
        <f>COUNTIF(Questions!H:H,H238)</f>
        <v>2</v>
      </c>
      <c r="J238" s="53"/>
    </row>
    <row r="239" spans="1:10" ht="22" customHeight="1" x14ac:dyDescent="0.35">
      <c r="A239" s="52" t="s">
        <v>729</v>
      </c>
      <c r="B239" s="52"/>
      <c r="C239" s="53" t="s">
        <v>92</v>
      </c>
      <c r="D239" s="54" t="s">
        <v>726</v>
      </c>
      <c r="E239" s="54">
        <f>COUNTIF(Questions!D:D,D239)</f>
        <v>2</v>
      </c>
      <c r="F239" s="54" t="s">
        <v>730</v>
      </c>
      <c r="G239" s="54" t="s">
        <v>2125</v>
      </c>
      <c r="H239" s="54" t="s">
        <v>728</v>
      </c>
      <c r="I239" s="54">
        <f>COUNTIF(Questions!H:H,H239)</f>
        <v>2</v>
      </c>
      <c r="J239" s="53"/>
    </row>
    <row r="240" spans="1:10" ht="22" customHeight="1" x14ac:dyDescent="0.35">
      <c r="A240" s="16" t="s">
        <v>731</v>
      </c>
      <c r="B240" s="16"/>
      <c r="C240" s="17" t="s">
        <v>92</v>
      </c>
      <c r="D240" s="18" t="s">
        <v>732</v>
      </c>
      <c r="E240" s="18">
        <f>COUNTIF(Questions!D:D,D240)</f>
        <v>2</v>
      </c>
      <c r="F240" s="18" t="s">
        <v>733</v>
      </c>
      <c r="G240" s="18" t="s">
        <v>2125</v>
      </c>
      <c r="H240" s="18" t="s">
        <v>734</v>
      </c>
      <c r="I240" s="18">
        <f>COUNTIF(Questions!H:H,H240)</f>
        <v>2</v>
      </c>
      <c r="J240" s="17"/>
    </row>
    <row r="241" spans="1:10" ht="22" customHeight="1" x14ac:dyDescent="0.35">
      <c r="A241" s="16" t="s">
        <v>735</v>
      </c>
      <c r="B241" s="16"/>
      <c r="C241" s="17" t="s">
        <v>92</v>
      </c>
      <c r="D241" s="18" t="s">
        <v>732</v>
      </c>
      <c r="E241" s="18">
        <f>COUNTIF(Questions!D:D,D241)</f>
        <v>2</v>
      </c>
      <c r="F241" s="18" t="s">
        <v>736</v>
      </c>
      <c r="G241" s="18" t="s">
        <v>2125</v>
      </c>
      <c r="H241" s="18" t="s">
        <v>734</v>
      </c>
      <c r="I241" s="18">
        <f>COUNTIF(Questions!H:H,H241)</f>
        <v>2</v>
      </c>
      <c r="J241" s="17"/>
    </row>
    <row r="242" spans="1:10" ht="22" customHeight="1" x14ac:dyDescent="0.35">
      <c r="A242" s="43" t="s">
        <v>737</v>
      </c>
      <c r="B242" s="43"/>
      <c r="C242" s="44" t="s">
        <v>8</v>
      </c>
      <c r="D242" s="45" t="s">
        <v>738</v>
      </c>
      <c r="E242" s="45">
        <f>COUNTIF(Questions!D:D,D242)</f>
        <v>2</v>
      </c>
      <c r="F242" s="45" t="s">
        <v>739</v>
      </c>
      <c r="G242" s="45" t="s">
        <v>11</v>
      </c>
      <c r="H242" s="45" t="s">
        <v>740</v>
      </c>
      <c r="I242" s="45">
        <f>COUNTIF(Questions!H:H,H242)</f>
        <v>2</v>
      </c>
      <c r="J242" s="44"/>
    </row>
    <row r="243" spans="1:10" ht="22" customHeight="1" x14ac:dyDescent="0.35">
      <c r="A243" s="43" t="s">
        <v>741</v>
      </c>
      <c r="B243" s="43"/>
      <c r="C243" s="44" t="s">
        <v>8</v>
      </c>
      <c r="D243" s="45" t="s">
        <v>738</v>
      </c>
      <c r="E243" s="45">
        <f>COUNTIF(Questions!D:D,D243)</f>
        <v>2</v>
      </c>
      <c r="F243" s="45" t="s">
        <v>742</v>
      </c>
      <c r="G243" s="45" t="s">
        <v>11</v>
      </c>
      <c r="H243" s="45" t="s">
        <v>740</v>
      </c>
      <c r="I243" s="45">
        <f>COUNTIF(Questions!H:H,H243)</f>
        <v>2</v>
      </c>
      <c r="J243" s="44"/>
    </row>
    <row r="244" spans="1:10" ht="22" customHeight="1" x14ac:dyDescent="0.35">
      <c r="A244" s="43" t="s">
        <v>743</v>
      </c>
      <c r="B244" s="43"/>
      <c r="C244" s="44" t="s">
        <v>8</v>
      </c>
      <c r="D244" s="45" t="s">
        <v>744</v>
      </c>
      <c r="E244" s="45">
        <f>COUNTIF(Questions!D:D,D244)</f>
        <v>2</v>
      </c>
      <c r="F244" s="45" t="s">
        <v>745</v>
      </c>
      <c r="G244" s="45" t="s">
        <v>11</v>
      </c>
      <c r="H244" s="45" t="s">
        <v>746</v>
      </c>
      <c r="I244" s="45">
        <f>COUNTIF(Questions!H:H,H244)</f>
        <v>2</v>
      </c>
      <c r="J244" s="44"/>
    </row>
    <row r="245" spans="1:10" ht="22" customHeight="1" x14ac:dyDescent="0.35">
      <c r="A245" s="43" t="s">
        <v>747</v>
      </c>
      <c r="B245" s="43"/>
      <c r="C245" s="44" t="s">
        <v>8</v>
      </c>
      <c r="D245" s="45" t="s">
        <v>744</v>
      </c>
      <c r="E245" s="45">
        <f>COUNTIF(Questions!D:D,D245)</f>
        <v>2</v>
      </c>
      <c r="F245" s="45" t="s">
        <v>748</v>
      </c>
      <c r="G245" s="45" t="s">
        <v>11</v>
      </c>
      <c r="H245" s="45" t="s">
        <v>746</v>
      </c>
      <c r="I245" s="45">
        <f>COUNTIF(Questions!H:H,H245)</f>
        <v>2</v>
      </c>
      <c r="J245" s="44"/>
    </row>
    <row r="246" spans="1:10" ht="22" customHeight="1" x14ac:dyDescent="0.35">
      <c r="A246" s="52" t="s">
        <v>749</v>
      </c>
      <c r="B246" s="52"/>
      <c r="C246" s="53" t="s">
        <v>92</v>
      </c>
      <c r="D246" s="54" t="s">
        <v>750</v>
      </c>
      <c r="E246" s="54">
        <f>COUNTIF(Questions!D:D,D246)</f>
        <v>2</v>
      </c>
      <c r="F246" s="54" t="s">
        <v>751</v>
      </c>
      <c r="G246" s="54" t="s">
        <v>2125</v>
      </c>
      <c r="H246" s="54" t="s">
        <v>752</v>
      </c>
      <c r="I246" s="54">
        <f>COUNTIF(Questions!H:H,H246)</f>
        <v>2</v>
      </c>
      <c r="J246" s="53"/>
    </row>
    <row r="247" spans="1:10" ht="22" customHeight="1" x14ac:dyDescent="0.35">
      <c r="A247" s="52" t="s">
        <v>753</v>
      </c>
      <c r="B247" s="52"/>
      <c r="C247" s="53" t="s">
        <v>92</v>
      </c>
      <c r="D247" s="54" t="s">
        <v>750</v>
      </c>
      <c r="E247" s="54">
        <f>COUNTIF(Questions!D:D,D247)</f>
        <v>2</v>
      </c>
      <c r="F247" s="54" t="s">
        <v>754</v>
      </c>
      <c r="G247" s="54" t="s">
        <v>2125</v>
      </c>
      <c r="H247" s="54" t="s">
        <v>752</v>
      </c>
      <c r="I247" s="54">
        <f>COUNTIF(Questions!H:H,H247)</f>
        <v>2</v>
      </c>
      <c r="J247" s="53"/>
    </row>
    <row r="248" spans="1:10" ht="22" customHeight="1" x14ac:dyDescent="0.35">
      <c r="A248" s="52" t="s">
        <v>755</v>
      </c>
      <c r="B248" s="52"/>
      <c r="C248" s="53" t="s">
        <v>92</v>
      </c>
      <c r="D248" s="54" t="s">
        <v>756</v>
      </c>
      <c r="E248" s="54">
        <f>COUNTIF(Questions!D:D,D248)</f>
        <v>2</v>
      </c>
      <c r="F248" s="54" t="s">
        <v>757</v>
      </c>
      <c r="G248" s="54" t="s">
        <v>2125</v>
      </c>
      <c r="H248" s="54" t="s">
        <v>756</v>
      </c>
      <c r="I248" s="54">
        <f>COUNTIF(Questions!H:H,H248)</f>
        <v>2</v>
      </c>
      <c r="J248" s="53"/>
    </row>
    <row r="249" spans="1:10" ht="22" customHeight="1" x14ac:dyDescent="0.35">
      <c r="A249" s="52" t="s">
        <v>758</v>
      </c>
      <c r="B249" s="52"/>
      <c r="C249" s="53" t="s">
        <v>92</v>
      </c>
      <c r="D249" s="54" t="s">
        <v>756</v>
      </c>
      <c r="E249" s="54">
        <f>COUNTIF(Questions!D:D,D249)</f>
        <v>2</v>
      </c>
      <c r="F249" s="54" t="s">
        <v>759</v>
      </c>
      <c r="G249" s="54" t="s">
        <v>2125</v>
      </c>
      <c r="H249" s="54" t="s">
        <v>756</v>
      </c>
      <c r="I249" s="54">
        <f>COUNTIF(Questions!H:H,H249)</f>
        <v>2</v>
      </c>
      <c r="J249" s="53"/>
    </row>
    <row r="250" spans="1:10" ht="22" customHeight="1" x14ac:dyDescent="0.35">
      <c r="A250" s="13" t="s">
        <v>760</v>
      </c>
      <c r="B250" s="13"/>
      <c r="C250" s="14" t="s">
        <v>79</v>
      </c>
      <c r="D250" s="15" t="s">
        <v>761</v>
      </c>
      <c r="E250" s="15">
        <f>COUNTIF(Questions!D:D,D250)</f>
        <v>2</v>
      </c>
      <c r="F250" s="15" t="s">
        <v>762</v>
      </c>
      <c r="G250" s="15" t="s">
        <v>2043</v>
      </c>
      <c r="H250" s="15" t="s">
        <v>763</v>
      </c>
      <c r="I250" s="15">
        <f>COUNTIF(Questions!H:H,H250)</f>
        <v>2</v>
      </c>
      <c r="J250" s="14"/>
    </row>
    <row r="251" spans="1:10" ht="22" customHeight="1" x14ac:dyDescent="0.35">
      <c r="A251" s="13" t="s">
        <v>764</v>
      </c>
      <c r="B251" s="13"/>
      <c r="C251" s="14" t="s">
        <v>79</v>
      </c>
      <c r="D251" s="15" t="s">
        <v>761</v>
      </c>
      <c r="E251" s="15">
        <f>COUNTIF(Questions!D:D,D251)</f>
        <v>2</v>
      </c>
      <c r="F251" s="15" t="s">
        <v>765</v>
      </c>
      <c r="G251" s="15" t="s">
        <v>2043</v>
      </c>
      <c r="H251" s="15" t="s">
        <v>763</v>
      </c>
      <c r="I251" s="15">
        <f>COUNTIF(Questions!H:H,H251)</f>
        <v>2</v>
      </c>
      <c r="J251" s="14"/>
    </row>
    <row r="252" spans="1:10" ht="22" customHeight="1" x14ac:dyDescent="0.35">
      <c r="A252" s="6" t="s">
        <v>766</v>
      </c>
      <c r="B252" s="6"/>
      <c r="C252" s="7" t="s">
        <v>50</v>
      </c>
      <c r="D252" s="8" t="s">
        <v>767</v>
      </c>
      <c r="E252" s="8">
        <f>COUNTIF(Questions!D:D,D252)</f>
        <v>2</v>
      </c>
      <c r="F252" s="8" t="s">
        <v>768</v>
      </c>
      <c r="G252" s="8" t="s">
        <v>50</v>
      </c>
      <c r="H252" s="8" t="s">
        <v>769</v>
      </c>
      <c r="I252" s="8">
        <f>COUNTIF(Questions!H:H,H252)</f>
        <v>2</v>
      </c>
      <c r="J252" s="7"/>
    </row>
    <row r="253" spans="1:10" ht="22" customHeight="1" x14ac:dyDescent="0.35">
      <c r="A253" s="6" t="s">
        <v>770</v>
      </c>
      <c r="B253" s="6"/>
      <c r="C253" s="7" t="s">
        <v>50</v>
      </c>
      <c r="D253" s="8" t="s">
        <v>767</v>
      </c>
      <c r="E253" s="8">
        <f>COUNTIF(Questions!D:D,D253)</f>
        <v>2</v>
      </c>
      <c r="F253" s="8" t="s">
        <v>771</v>
      </c>
      <c r="G253" s="8" t="s">
        <v>50</v>
      </c>
      <c r="H253" s="8" t="s">
        <v>769</v>
      </c>
      <c r="I253" s="8">
        <f>COUNTIF(Questions!H:H,H253)</f>
        <v>2</v>
      </c>
      <c r="J253" s="7"/>
    </row>
    <row r="254" spans="1:10" ht="22" customHeight="1" x14ac:dyDescent="0.35">
      <c r="A254" s="34" t="s">
        <v>772</v>
      </c>
      <c r="B254" s="34"/>
      <c r="C254" s="35" t="s">
        <v>64</v>
      </c>
      <c r="D254" s="36" t="s">
        <v>773</v>
      </c>
      <c r="E254" s="36">
        <f>COUNTIF(Questions!D:D,D254)</f>
        <v>2</v>
      </c>
      <c r="F254" s="36" t="s">
        <v>774</v>
      </c>
      <c r="G254" s="36" t="s">
        <v>67</v>
      </c>
      <c r="H254" s="36" t="s">
        <v>773</v>
      </c>
      <c r="I254" s="36">
        <f>COUNTIF(Questions!H:H,H254)</f>
        <v>2</v>
      </c>
      <c r="J254" s="35"/>
    </row>
    <row r="255" spans="1:10" ht="22" customHeight="1" x14ac:dyDescent="0.35">
      <c r="A255" s="34" t="s">
        <v>775</v>
      </c>
      <c r="B255" s="34"/>
      <c r="C255" s="35" t="s">
        <v>64</v>
      </c>
      <c r="D255" s="36" t="s">
        <v>773</v>
      </c>
      <c r="E255" s="36">
        <f>COUNTIF(Questions!D:D,D255)</f>
        <v>2</v>
      </c>
      <c r="F255" s="36" t="s">
        <v>776</v>
      </c>
      <c r="G255" s="36" t="s">
        <v>67</v>
      </c>
      <c r="H255" s="36" t="s">
        <v>773</v>
      </c>
      <c r="I255" s="36">
        <f>COUNTIF(Questions!H:H,H255)</f>
        <v>2</v>
      </c>
      <c r="J255" s="35"/>
    </row>
    <row r="256" spans="1:10" ht="22" customHeight="1" x14ac:dyDescent="0.35">
      <c r="A256" s="25" t="s">
        <v>777</v>
      </c>
      <c r="B256" s="25"/>
      <c r="C256" s="26" t="s">
        <v>216</v>
      </c>
      <c r="D256" s="27" t="s">
        <v>778</v>
      </c>
      <c r="E256" s="27">
        <f>COUNTIF(Questions!D:D,D256)</f>
        <v>2</v>
      </c>
      <c r="F256" s="27" t="s">
        <v>779</v>
      </c>
      <c r="G256" s="27" t="s">
        <v>2124</v>
      </c>
      <c r="H256" s="27" t="s">
        <v>780</v>
      </c>
      <c r="I256" s="27">
        <f>COUNTIF(Questions!H:H,H256)</f>
        <v>2</v>
      </c>
      <c r="J256" s="26"/>
    </row>
    <row r="257" spans="1:10" ht="22" customHeight="1" x14ac:dyDescent="0.35">
      <c r="A257" s="25" t="s">
        <v>781</v>
      </c>
      <c r="B257" s="25"/>
      <c r="C257" s="26" t="s">
        <v>216</v>
      </c>
      <c r="D257" s="27" t="s">
        <v>778</v>
      </c>
      <c r="E257" s="27">
        <f>COUNTIF(Questions!D:D,D257)</f>
        <v>2</v>
      </c>
      <c r="F257" s="27" t="s">
        <v>782</v>
      </c>
      <c r="G257" s="27" t="s">
        <v>2124</v>
      </c>
      <c r="H257" s="27" t="s">
        <v>780</v>
      </c>
      <c r="I257" s="27">
        <f>COUNTIF(Questions!H:H,H257)</f>
        <v>2</v>
      </c>
      <c r="J257" s="26"/>
    </row>
    <row r="258" spans="1:10" ht="22" customHeight="1" x14ac:dyDescent="0.35">
      <c r="A258" s="46" t="s">
        <v>783</v>
      </c>
      <c r="B258" s="46"/>
      <c r="C258" s="94" t="s">
        <v>57</v>
      </c>
      <c r="D258" s="48" t="s">
        <v>784</v>
      </c>
      <c r="E258" s="48">
        <f>COUNTIF(Questions!D:D,D258)</f>
        <v>2</v>
      </c>
      <c r="F258" s="48" t="s">
        <v>785</v>
      </c>
      <c r="G258" s="48" t="s">
        <v>2121</v>
      </c>
      <c r="H258" s="48" t="s">
        <v>786</v>
      </c>
      <c r="I258" s="48">
        <f>COUNTIF(Questions!H:H,H258)</f>
        <v>2</v>
      </c>
      <c r="J258" s="47"/>
    </row>
    <row r="259" spans="1:10" ht="22" customHeight="1" x14ac:dyDescent="0.35">
      <c r="A259" s="46" t="s">
        <v>787</v>
      </c>
      <c r="B259" s="46"/>
      <c r="C259" s="94" t="s">
        <v>57</v>
      </c>
      <c r="D259" s="48" t="s">
        <v>784</v>
      </c>
      <c r="E259" s="48">
        <f>COUNTIF(Questions!D:D,D259)</f>
        <v>2</v>
      </c>
      <c r="F259" s="48" t="s">
        <v>788</v>
      </c>
      <c r="G259" s="48" t="s">
        <v>2121</v>
      </c>
      <c r="H259" s="48" t="s">
        <v>786</v>
      </c>
      <c r="I259" s="48">
        <f>COUNTIF(Questions!H:H,H259)</f>
        <v>2</v>
      </c>
      <c r="J259" s="47"/>
    </row>
    <row r="260" spans="1:10" ht="22" customHeight="1" x14ac:dyDescent="0.35">
      <c r="A260" s="16" t="s">
        <v>789</v>
      </c>
      <c r="B260" s="16"/>
      <c r="C260" s="17" t="s">
        <v>190</v>
      </c>
      <c r="D260" s="18" t="s">
        <v>790</v>
      </c>
      <c r="E260" s="18">
        <f>COUNTIF(Questions!D:D,D260)</f>
        <v>2</v>
      </c>
      <c r="F260" s="18" t="s">
        <v>791</v>
      </c>
      <c r="G260" s="18" t="s">
        <v>2126</v>
      </c>
      <c r="H260" s="18" t="s">
        <v>792</v>
      </c>
      <c r="I260" s="18">
        <f>COUNTIF(Questions!H:H,H260)</f>
        <v>2</v>
      </c>
      <c r="J260" s="17"/>
    </row>
    <row r="261" spans="1:10" ht="22" customHeight="1" x14ac:dyDescent="0.35">
      <c r="A261" s="16" t="s">
        <v>793</v>
      </c>
      <c r="B261" s="16"/>
      <c r="C261" s="17" t="s">
        <v>190</v>
      </c>
      <c r="D261" s="18" t="s">
        <v>790</v>
      </c>
      <c r="E261" s="18">
        <f>COUNTIF(Questions!D:D,D261)</f>
        <v>2</v>
      </c>
      <c r="F261" s="18" t="s">
        <v>794</v>
      </c>
      <c r="G261" s="18" t="s">
        <v>2126</v>
      </c>
      <c r="H261" s="18" t="s">
        <v>792</v>
      </c>
      <c r="I261" s="18">
        <f>COUNTIF(Questions!H:H,H261)</f>
        <v>2</v>
      </c>
      <c r="J261" s="17"/>
    </row>
    <row r="262" spans="1:10" ht="22" customHeight="1" x14ac:dyDescent="0.35">
      <c r="A262" s="46" t="s">
        <v>795</v>
      </c>
      <c r="B262" s="46"/>
      <c r="C262" s="47" t="s">
        <v>72</v>
      </c>
      <c r="D262" s="48" t="s">
        <v>796</v>
      </c>
      <c r="E262" s="48">
        <f>COUNTIF(Questions!D:D,D262)</f>
        <v>2</v>
      </c>
      <c r="F262" s="48" t="s">
        <v>797</v>
      </c>
      <c r="G262" s="48" t="s">
        <v>2120</v>
      </c>
      <c r="H262" s="48" t="s">
        <v>798</v>
      </c>
      <c r="I262" s="48">
        <f>COUNTIF(Questions!H:H,H262)</f>
        <v>2</v>
      </c>
      <c r="J262" s="47"/>
    </row>
    <row r="263" spans="1:10" ht="22" customHeight="1" x14ac:dyDescent="0.35">
      <c r="A263" s="46" t="s">
        <v>799</v>
      </c>
      <c r="B263" s="46"/>
      <c r="C263" s="47" t="s">
        <v>72</v>
      </c>
      <c r="D263" s="48" t="s">
        <v>796</v>
      </c>
      <c r="E263" s="48">
        <f>COUNTIF(Questions!D:D,D263)</f>
        <v>2</v>
      </c>
      <c r="F263" s="48" t="s">
        <v>800</v>
      </c>
      <c r="G263" s="48" t="s">
        <v>2120</v>
      </c>
      <c r="H263" s="48" t="s">
        <v>798</v>
      </c>
      <c r="I263" s="48">
        <f>COUNTIF(Questions!H:H,H263)</f>
        <v>2</v>
      </c>
      <c r="J263" s="47"/>
    </row>
    <row r="264" spans="1:10" ht="22" customHeight="1" x14ac:dyDescent="0.35">
      <c r="A264" s="52" t="s">
        <v>801</v>
      </c>
      <c r="B264" s="52"/>
      <c r="C264" s="53" t="s">
        <v>92</v>
      </c>
      <c r="D264" s="54" t="s">
        <v>802</v>
      </c>
      <c r="E264" s="54">
        <f>COUNTIF(Questions!D:D,D264)</f>
        <v>2</v>
      </c>
      <c r="F264" s="54" t="s">
        <v>803</v>
      </c>
      <c r="G264" s="54" t="s">
        <v>2125</v>
      </c>
      <c r="H264" s="54" t="s">
        <v>804</v>
      </c>
      <c r="I264" s="54">
        <f>COUNTIF(Questions!H:H,H264)</f>
        <v>2</v>
      </c>
      <c r="J264" s="53"/>
    </row>
    <row r="265" spans="1:10" ht="22" customHeight="1" x14ac:dyDescent="0.35">
      <c r="A265" s="52" t="s">
        <v>805</v>
      </c>
      <c r="B265" s="52"/>
      <c r="C265" s="53" t="s">
        <v>92</v>
      </c>
      <c r="D265" s="54" t="s">
        <v>802</v>
      </c>
      <c r="E265" s="54">
        <f>COUNTIF(Questions!D:D,D265)</f>
        <v>2</v>
      </c>
      <c r="F265" s="54" t="s">
        <v>806</v>
      </c>
      <c r="G265" s="54" t="s">
        <v>2125</v>
      </c>
      <c r="H265" s="54" t="s">
        <v>804</v>
      </c>
      <c r="I265" s="54">
        <f>COUNTIF(Questions!H:H,H265)</f>
        <v>2</v>
      </c>
      <c r="J265" s="53"/>
    </row>
    <row r="266" spans="1:10" ht="22" customHeight="1" x14ac:dyDescent="0.35">
      <c r="A266" s="52" t="s">
        <v>807</v>
      </c>
      <c r="B266" s="52"/>
      <c r="C266" s="53" t="s">
        <v>92</v>
      </c>
      <c r="D266" s="54" t="s">
        <v>808</v>
      </c>
      <c r="E266" s="54">
        <f>COUNTIF(Questions!D:D,D266)</f>
        <v>2</v>
      </c>
      <c r="F266" s="54" t="s">
        <v>809</v>
      </c>
      <c r="G266" s="54" t="s">
        <v>2125</v>
      </c>
      <c r="H266" s="54" t="s">
        <v>810</v>
      </c>
      <c r="I266" s="54">
        <f>COUNTIF(Questions!H:H,H266)</f>
        <v>2</v>
      </c>
      <c r="J266" s="53"/>
    </row>
    <row r="267" spans="1:10" ht="22" customHeight="1" x14ac:dyDescent="0.35">
      <c r="A267" s="52" t="s">
        <v>811</v>
      </c>
      <c r="B267" s="52"/>
      <c r="C267" s="53" t="s">
        <v>92</v>
      </c>
      <c r="D267" s="54" t="s">
        <v>808</v>
      </c>
      <c r="E267" s="54">
        <f>COUNTIF(Questions!D:D,D267)</f>
        <v>2</v>
      </c>
      <c r="F267" s="54" t="s">
        <v>812</v>
      </c>
      <c r="G267" s="54" t="s">
        <v>2125</v>
      </c>
      <c r="H267" s="54" t="s">
        <v>810</v>
      </c>
      <c r="I267" s="54">
        <f>COUNTIF(Questions!H:H,H267)</f>
        <v>2</v>
      </c>
      <c r="J267" s="53">
        <v>23</v>
      </c>
    </row>
    <row r="268" spans="1:10" ht="22" customHeight="1" x14ac:dyDescent="0.35">
      <c r="A268" s="40" t="s">
        <v>813</v>
      </c>
      <c r="B268" s="40"/>
      <c r="C268" s="41" t="s">
        <v>145</v>
      </c>
      <c r="D268" s="42" t="s">
        <v>814</v>
      </c>
      <c r="E268" s="42">
        <f>COUNTIF(Questions!D:D,D268)</f>
        <v>2</v>
      </c>
      <c r="F268" s="42" t="s">
        <v>815</v>
      </c>
      <c r="G268" s="42" t="s">
        <v>2127</v>
      </c>
      <c r="H268" s="42" t="s">
        <v>816</v>
      </c>
      <c r="I268" s="42">
        <f>COUNTIF(Questions!H:H,H268)</f>
        <v>2</v>
      </c>
      <c r="J268" s="41"/>
    </row>
    <row r="269" spans="1:10" ht="22" customHeight="1" x14ac:dyDescent="0.35">
      <c r="A269" s="40" t="s">
        <v>817</v>
      </c>
      <c r="B269" s="40"/>
      <c r="C269" s="41" t="s">
        <v>145</v>
      </c>
      <c r="D269" s="42" t="s">
        <v>814</v>
      </c>
      <c r="E269" s="42">
        <f>COUNTIF(Questions!D:D,D269)</f>
        <v>2</v>
      </c>
      <c r="F269" s="42" t="s">
        <v>818</v>
      </c>
      <c r="G269" s="42" t="s">
        <v>2127</v>
      </c>
      <c r="H269" s="42" t="s">
        <v>816</v>
      </c>
      <c r="I269" s="42">
        <f>COUNTIF(Questions!H:H,H269)</f>
        <v>2</v>
      </c>
      <c r="J269" s="41"/>
    </row>
    <row r="270" spans="1:10" ht="22" customHeight="1" x14ac:dyDescent="0.35">
      <c r="A270" s="28" t="s">
        <v>819</v>
      </c>
      <c r="B270" s="28"/>
      <c r="C270" s="29" t="s">
        <v>176</v>
      </c>
      <c r="D270" s="30" t="s">
        <v>820</v>
      </c>
      <c r="E270" s="30">
        <f>COUNTIF(Questions!D:D,D270)</f>
        <v>2</v>
      </c>
      <c r="F270" s="30" t="s">
        <v>821</v>
      </c>
      <c r="G270" s="30" t="s">
        <v>179</v>
      </c>
      <c r="H270" s="30" t="s">
        <v>822</v>
      </c>
      <c r="I270" s="30">
        <f>COUNTIF(Questions!H:H,H270)</f>
        <v>2</v>
      </c>
      <c r="J270" s="29"/>
    </row>
    <row r="271" spans="1:10" ht="22" customHeight="1" x14ac:dyDescent="0.35">
      <c r="A271" s="28" t="s">
        <v>823</v>
      </c>
      <c r="B271" s="28"/>
      <c r="C271" s="29" t="s">
        <v>176</v>
      </c>
      <c r="D271" s="30" t="s">
        <v>820</v>
      </c>
      <c r="E271" s="30">
        <f>COUNTIF(Questions!D:D,D271)</f>
        <v>2</v>
      </c>
      <c r="F271" s="30" t="s">
        <v>824</v>
      </c>
      <c r="G271" s="30" t="s">
        <v>179</v>
      </c>
      <c r="H271" s="30" t="s">
        <v>822</v>
      </c>
      <c r="I271" s="30">
        <f>COUNTIF(Questions!H:H,H271)</f>
        <v>2</v>
      </c>
      <c r="J271" s="29" t="s">
        <v>825</v>
      </c>
    </row>
    <row r="272" spans="1:10" ht="22" customHeight="1" x14ac:dyDescent="0.35">
      <c r="A272" s="22" t="s">
        <v>826</v>
      </c>
      <c r="B272" s="22"/>
      <c r="C272" s="23" t="s">
        <v>16</v>
      </c>
      <c r="D272" s="24" t="s">
        <v>827</v>
      </c>
      <c r="E272" s="24">
        <f>COUNTIF(Questions!D:D,D272)</f>
        <v>2</v>
      </c>
      <c r="F272" s="24" t="s">
        <v>828</v>
      </c>
      <c r="G272" s="24" t="s">
        <v>19</v>
      </c>
      <c r="H272" s="24" t="s">
        <v>829</v>
      </c>
      <c r="I272" s="24">
        <f>COUNTIF(Questions!H:H,H272)</f>
        <v>2</v>
      </c>
      <c r="J272" s="23"/>
    </row>
    <row r="273" spans="1:10" ht="22" customHeight="1" x14ac:dyDescent="0.35">
      <c r="A273" s="22" t="s">
        <v>830</v>
      </c>
      <c r="B273" s="22"/>
      <c r="C273" s="23" t="s">
        <v>16</v>
      </c>
      <c r="D273" s="24" t="s">
        <v>827</v>
      </c>
      <c r="E273" s="24">
        <f>COUNTIF(Questions!D:D,D273)</f>
        <v>2</v>
      </c>
      <c r="F273" s="24" t="s">
        <v>831</v>
      </c>
      <c r="G273" s="24" t="s">
        <v>19</v>
      </c>
      <c r="H273" s="24" t="s">
        <v>829</v>
      </c>
      <c r="I273" s="24">
        <f>COUNTIF(Questions!H:H,H273)</f>
        <v>2</v>
      </c>
      <c r="J273" s="23"/>
    </row>
    <row r="274" spans="1:10" ht="22" customHeight="1" x14ac:dyDescent="0.35">
      <c r="A274" s="6" t="s">
        <v>832</v>
      </c>
      <c r="B274" s="6"/>
      <c r="C274" s="7" t="s">
        <v>50</v>
      </c>
      <c r="D274" s="8" t="s">
        <v>833</v>
      </c>
      <c r="E274" s="8">
        <f>COUNTIF(Questions!D:D,D274)</f>
        <v>2</v>
      </c>
      <c r="F274" s="8" t="s">
        <v>834</v>
      </c>
      <c r="G274" s="8" t="s">
        <v>50</v>
      </c>
      <c r="H274" s="8" t="s">
        <v>833</v>
      </c>
      <c r="I274" s="8">
        <f>COUNTIF(Questions!H:H,H274)</f>
        <v>2</v>
      </c>
      <c r="J274" s="7"/>
    </row>
    <row r="275" spans="1:10" ht="22" customHeight="1" x14ac:dyDescent="0.35">
      <c r="A275" s="6" t="s">
        <v>835</v>
      </c>
      <c r="B275" s="6"/>
      <c r="C275" s="7" t="s">
        <v>50</v>
      </c>
      <c r="D275" s="8" t="s">
        <v>833</v>
      </c>
      <c r="E275" s="8">
        <f>COUNTIF(Questions!D:D,D275)</f>
        <v>2</v>
      </c>
      <c r="F275" s="8" t="s">
        <v>836</v>
      </c>
      <c r="G275" s="8" t="s">
        <v>50</v>
      </c>
      <c r="H275" s="8" t="s">
        <v>833</v>
      </c>
      <c r="I275" s="8">
        <f>COUNTIF(Questions!H:H,H275)</f>
        <v>2</v>
      </c>
      <c r="J275" s="7"/>
    </row>
    <row r="276" spans="1:10" ht="22" customHeight="1" x14ac:dyDescent="0.35">
      <c r="A276" s="37" t="s">
        <v>837</v>
      </c>
      <c r="B276" s="37"/>
      <c r="C276" s="38" t="s">
        <v>57</v>
      </c>
      <c r="D276" s="39" t="s">
        <v>838</v>
      </c>
      <c r="E276" s="39">
        <f>COUNTIF(Questions!D:D,D276)</f>
        <v>2</v>
      </c>
      <c r="F276" s="39" t="s">
        <v>839</v>
      </c>
      <c r="G276" s="39" t="s">
        <v>2121</v>
      </c>
      <c r="H276" s="39" t="s">
        <v>840</v>
      </c>
      <c r="I276" s="39">
        <f>COUNTIF(Questions!H:H,H276)</f>
        <v>2</v>
      </c>
      <c r="J276" s="38"/>
    </row>
    <row r="277" spans="1:10" ht="22" customHeight="1" x14ac:dyDescent="0.35">
      <c r="A277" s="37" t="s">
        <v>841</v>
      </c>
      <c r="B277" s="37"/>
      <c r="C277" s="38" t="s">
        <v>57</v>
      </c>
      <c r="D277" s="39" t="s">
        <v>838</v>
      </c>
      <c r="E277" s="39">
        <f>COUNTIF(Questions!D:D,D277)</f>
        <v>2</v>
      </c>
      <c r="F277" s="39" t="s">
        <v>842</v>
      </c>
      <c r="G277" s="39" t="s">
        <v>2121</v>
      </c>
      <c r="H277" s="39" t="s">
        <v>840</v>
      </c>
      <c r="I277" s="39">
        <f>COUNTIF(Questions!H:H,H277)</f>
        <v>2</v>
      </c>
      <c r="J277" s="38" t="s">
        <v>843</v>
      </c>
    </row>
    <row r="278" spans="1:10" ht="22" customHeight="1" x14ac:dyDescent="0.35">
      <c r="A278" s="37" t="s">
        <v>844</v>
      </c>
      <c r="B278" s="37"/>
      <c r="C278" s="38" t="s">
        <v>57</v>
      </c>
      <c r="D278" s="39" t="s">
        <v>845</v>
      </c>
      <c r="E278" s="39">
        <f>COUNTIF(Questions!D:D,D278)</f>
        <v>2</v>
      </c>
      <c r="F278" s="39" t="s">
        <v>846</v>
      </c>
      <c r="G278" s="39" t="s">
        <v>2121</v>
      </c>
      <c r="H278" s="39" t="s">
        <v>845</v>
      </c>
      <c r="I278" s="39">
        <f>COUNTIF(Questions!H:H,H278)</f>
        <v>2</v>
      </c>
      <c r="J278" s="38"/>
    </row>
    <row r="279" spans="1:10" ht="22" customHeight="1" x14ac:dyDescent="0.35">
      <c r="A279" s="37" t="s">
        <v>847</v>
      </c>
      <c r="B279" s="37"/>
      <c r="C279" s="38" t="s">
        <v>57</v>
      </c>
      <c r="D279" s="39" t="s">
        <v>845</v>
      </c>
      <c r="E279" s="39">
        <f>COUNTIF(Questions!D:D,D279)</f>
        <v>2</v>
      </c>
      <c r="F279" s="39" t="s">
        <v>848</v>
      </c>
      <c r="G279" s="39" t="s">
        <v>2121</v>
      </c>
      <c r="H279" s="39" t="s">
        <v>845</v>
      </c>
      <c r="I279" s="39">
        <f>COUNTIF(Questions!H:H,H279)</f>
        <v>2</v>
      </c>
      <c r="J279" s="38"/>
    </row>
    <row r="280" spans="1:10" ht="22" customHeight="1" x14ac:dyDescent="0.35">
      <c r="A280" s="40" t="s">
        <v>849</v>
      </c>
      <c r="B280" s="40"/>
      <c r="C280" s="41" t="s">
        <v>145</v>
      </c>
      <c r="D280" s="42" t="s">
        <v>850</v>
      </c>
      <c r="E280" s="42">
        <f>COUNTIF(Questions!D:D,D280)</f>
        <v>2</v>
      </c>
      <c r="F280" s="42" t="s">
        <v>851</v>
      </c>
      <c r="G280" s="42" t="s">
        <v>2127</v>
      </c>
      <c r="H280" s="42" t="s">
        <v>850</v>
      </c>
      <c r="I280" s="42">
        <f>COUNTIF(Questions!H:H,H280)</f>
        <v>2</v>
      </c>
      <c r="J280" s="41"/>
    </row>
    <row r="281" spans="1:10" ht="22" customHeight="1" x14ac:dyDescent="0.35">
      <c r="A281" s="40" t="s">
        <v>852</v>
      </c>
      <c r="B281" s="40"/>
      <c r="C281" s="41" t="s">
        <v>145</v>
      </c>
      <c r="D281" s="42" t="s">
        <v>850</v>
      </c>
      <c r="E281" s="42">
        <f>COUNTIF(Questions!D:D,D281)</f>
        <v>2</v>
      </c>
      <c r="F281" s="42" t="s">
        <v>853</v>
      </c>
      <c r="G281" s="42" t="s">
        <v>2127</v>
      </c>
      <c r="H281" s="42" t="s">
        <v>850</v>
      </c>
      <c r="I281" s="42">
        <f>COUNTIF(Questions!H:H,H281)</f>
        <v>2</v>
      </c>
      <c r="J281" s="41"/>
    </row>
    <row r="282" spans="1:10" ht="22" customHeight="1" x14ac:dyDescent="0.35">
      <c r="A282" s="40" t="s">
        <v>854</v>
      </c>
      <c r="B282" s="40"/>
      <c r="C282" s="41" t="s">
        <v>145</v>
      </c>
      <c r="D282" s="42" t="s">
        <v>855</v>
      </c>
      <c r="E282" s="42">
        <f>COUNTIF(Questions!D:D,D282)</f>
        <v>2</v>
      </c>
      <c r="F282" s="42" t="s">
        <v>856</v>
      </c>
      <c r="G282" s="42" t="s">
        <v>2127</v>
      </c>
      <c r="H282" s="42" t="s">
        <v>857</v>
      </c>
      <c r="I282" s="42">
        <f>COUNTIF(Questions!H:H,H282)</f>
        <v>2</v>
      </c>
      <c r="J282" s="41"/>
    </row>
    <row r="283" spans="1:10" ht="22" customHeight="1" x14ac:dyDescent="0.35">
      <c r="A283" s="40" t="s">
        <v>858</v>
      </c>
      <c r="B283" s="40"/>
      <c r="C283" s="41" t="s">
        <v>145</v>
      </c>
      <c r="D283" s="42" t="s">
        <v>855</v>
      </c>
      <c r="E283" s="42">
        <f>COUNTIF(Questions!D:D,D283)</f>
        <v>2</v>
      </c>
      <c r="F283" s="42" t="s">
        <v>859</v>
      </c>
      <c r="G283" s="42" t="s">
        <v>2127</v>
      </c>
      <c r="H283" s="42" t="s">
        <v>857</v>
      </c>
      <c r="I283" s="42">
        <f>COUNTIF(Questions!H:H,H283)</f>
        <v>2</v>
      </c>
      <c r="J283" s="41"/>
    </row>
    <row r="284" spans="1:10" ht="22" customHeight="1" x14ac:dyDescent="0.35">
      <c r="A284" s="52" t="s">
        <v>860</v>
      </c>
      <c r="B284" s="52"/>
      <c r="C284" s="53" t="s">
        <v>92</v>
      </c>
      <c r="D284" s="54" t="s">
        <v>861</v>
      </c>
      <c r="E284" s="54">
        <f>COUNTIF(Questions!D:D,D284)</f>
        <v>2</v>
      </c>
      <c r="F284" s="54" t="s">
        <v>862</v>
      </c>
      <c r="G284" s="54" t="s">
        <v>2125</v>
      </c>
      <c r="H284" s="54" t="s">
        <v>863</v>
      </c>
      <c r="I284" s="54">
        <f>COUNTIF(Questions!H:H,H284)</f>
        <v>2</v>
      </c>
      <c r="J284" s="53"/>
    </row>
    <row r="285" spans="1:10" ht="22" customHeight="1" x14ac:dyDescent="0.35">
      <c r="A285" s="52" t="s">
        <v>864</v>
      </c>
      <c r="B285" s="52"/>
      <c r="C285" s="53" t="s">
        <v>92</v>
      </c>
      <c r="D285" s="54" t="s">
        <v>861</v>
      </c>
      <c r="E285" s="54">
        <f>COUNTIF(Questions!D:D,D285)</f>
        <v>2</v>
      </c>
      <c r="F285" s="54" t="s">
        <v>865</v>
      </c>
      <c r="G285" s="54" t="s">
        <v>2125</v>
      </c>
      <c r="H285" s="54" t="s">
        <v>863</v>
      </c>
      <c r="I285" s="54">
        <f>COUNTIF(Questions!H:H,H285)</f>
        <v>2</v>
      </c>
      <c r="J285" s="53"/>
    </row>
    <row r="286" spans="1:10" ht="22" customHeight="1" x14ac:dyDescent="0.35">
      <c r="A286" s="37" t="s">
        <v>866</v>
      </c>
      <c r="B286" s="37"/>
      <c r="C286" s="38" t="s">
        <v>57</v>
      </c>
      <c r="D286" s="39" t="s">
        <v>867</v>
      </c>
      <c r="E286" s="39">
        <f>COUNTIF(Questions!D:D,D286)</f>
        <v>2</v>
      </c>
      <c r="F286" s="39" t="s">
        <v>868</v>
      </c>
      <c r="G286" s="39" t="s">
        <v>2121</v>
      </c>
      <c r="H286" s="39" t="s">
        <v>869</v>
      </c>
      <c r="I286" s="39">
        <f>COUNTIF(Questions!H:H,H286)</f>
        <v>2</v>
      </c>
      <c r="J286" s="38"/>
    </row>
    <row r="287" spans="1:10" ht="22" customHeight="1" x14ac:dyDescent="0.35">
      <c r="A287" s="37" t="s">
        <v>870</v>
      </c>
      <c r="B287" s="37"/>
      <c r="C287" s="38" t="s">
        <v>57</v>
      </c>
      <c r="D287" s="39" t="s">
        <v>867</v>
      </c>
      <c r="E287" s="39">
        <f>COUNTIF(Questions!D:D,D287)</f>
        <v>2</v>
      </c>
      <c r="F287" s="39" t="s">
        <v>871</v>
      </c>
      <c r="G287" s="39" t="s">
        <v>2121</v>
      </c>
      <c r="H287" s="39" t="s">
        <v>869</v>
      </c>
      <c r="I287" s="39">
        <f>COUNTIF(Questions!H:H,H287)</f>
        <v>2</v>
      </c>
      <c r="J287" s="38"/>
    </row>
    <row r="288" spans="1:10" ht="22" customHeight="1" x14ac:dyDescent="0.35">
      <c r="A288" s="25" t="s">
        <v>872</v>
      </c>
      <c r="B288" s="25"/>
      <c r="C288" s="26" t="s">
        <v>176</v>
      </c>
      <c r="D288" s="27" t="s">
        <v>873</v>
      </c>
      <c r="E288" s="27">
        <f>COUNTIF(Questions!D:D,D288)</f>
        <v>2</v>
      </c>
      <c r="F288" s="27" t="s">
        <v>874</v>
      </c>
      <c r="G288" s="27" t="s">
        <v>179</v>
      </c>
      <c r="H288" s="27" t="s">
        <v>875</v>
      </c>
      <c r="I288" s="27">
        <f>COUNTIF(Questions!H:H,H288)</f>
        <v>2</v>
      </c>
      <c r="J288" s="26"/>
    </row>
    <row r="289" spans="1:10" ht="22" customHeight="1" x14ac:dyDescent="0.35">
      <c r="A289" s="25" t="s">
        <v>876</v>
      </c>
      <c r="B289" s="25"/>
      <c r="C289" s="26" t="s">
        <v>176</v>
      </c>
      <c r="D289" s="27" t="s">
        <v>873</v>
      </c>
      <c r="E289" s="27">
        <f>COUNTIF(Questions!D:D,D289)</f>
        <v>2</v>
      </c>
      <c r="F289" s="27" t="s">
        <v>877</v>
      </c>
      <c r="G289" s="27" t="s">
        <v>179</v>
      </c>
      <c r="H289" s="27" t="s">
        <v>875</v>
      </c>
      <c r="I289" s="27">
        <f>COUNTIF(Questions!H:H,H289)</f>
        <v>2</v>
      </c>
      <c r="J289" s="26"/>
    </row>
    <row r="290" spans="1:10" ht="22" customHeight="1" x14ac:dyDescent="0.35">
      <c r="A290" s="37" t="s">
        <v>878</v>
      </c>
      <c r="B290" s="37"/>
      <c r="C290" s="38" t="s">
        <v>57</v>
      </c>
      <c r="D290" s="39" t="s">
        <v>879</v>
      </c>
      <c r="E290" s="39">
        <f>COUNTIF(Questions!D:D,D290)</f>
        <v>2</v>
      </c>
      <c r="F290" s="39" t="s">
        <v>880</v>
      </c>
      <c r="G290" s="39" t="s">
        <v>2121</v>
      </c>
      <c r="H290" s="39" t="s">
        <v>881</v>
      </c>
      <c r="I290" s="39">
        <f>COUNTIF(Questions!H:H,H290)</f>
        <v>2</v>
      </c>
      <c r="J290" s="38"/>
    </row>
    <row r="291" spans="1:10" ht="22" customHeight="1" x14ac:dyDescent="0.35">
      <c r="A291" s="37" t="s">
        <v>882</v>
      </c>
      <c r="B291" s="37"/>
      <c r="C291" s="38" t="s">
        <v>57</v>
      </c>
      <c r="D291" s="39" t="s">
        <v>879</v>
      </c>
      <c r="E291" s="39">
        <f>COUNTIF(Questions!D:D,D291)</f>
        <v>2</v>
      </c>
      <c r="F291" s="39" t="s">
        <v>883</v>
      </c>
      <c r="G291" s="39" t="s">
        <v>2121</v>
      </c>
      <c r="H291" s="39" t="s">
        <v>881</v>
      </c>
      <c r="I291" s="39">
        <f>COUNTIF(Questions!H:H,H291)</f>
        <v>2</v>
      </c>
      <c r="J291" s="38" t="s">
        <v>843</v>
      </c>
    </row>
    <row r="292" spans="1:10" ht="22" customHeight="1" x14ac:dyDescent="0.35">
      <c r="A292" s="46" t="s">
        <v>884</v>
      </c>
      <c r="B292" s="46"/>
      <c r="C292" s="47" t="s">
        <v>24</v>
      </c>
      <c r="D292" s="48" t="s">
        <v>885</v>
      </c>
      <c r="E292" s="48">
        <f>COUNTIF(Questions!D:D,D292)</f>
        <v>2</v>
      </c>
      <c r="F292" s="48" t="s">
        <v>886</v>
      </c>
      <c r="G292" s="48" t="s">
        <v>27</v>
      </c>
      <c r="H292" s="48" t="s">
        <v>887</v>
      </c>
      <c r="I292" s="48">
        <f>COUNTIF(Questions!H:H,H292)</f>
        <v>2</v>
      </c>
      <c r="J292" s="47"/>
    </row>
    <row r="293" spans="1:10" ht="22" customHeight="1" x14ac:dyDescent="0.35">
      <c r="A293" s="46" t="s">
        <v>888</v>
      </c>
      <c r="B293" s="46"/>
      <c r="C293" s="47" t="s">
        <v>24</v>
      </c>
      <c r="D293" s="48" t="s">
        <v>885</v>
      </c>
      <c r="E293" s="48">
        <f>COUNTIF(Questions!D:D,D293)</f>
        <v>2</v>
      </c>
      <c r="F293" s="48" t="s">
        <v>889</v>
      </c>
      <c r="G293" s="48" t="s">
        <v>27</v>
      </c>
      <c r="H293" s="48" t="s">
        <v>887</v>
      </c>
      <c r="I293" s="48">
        <f>COUNTIF(Questions!H:H,H293)</f>
        <v>2</v>
      </c>
      <c r="J293" s="47"/>
    </row>
    <row r="294" spans="1:10" ht="22" customHeight="1" x14ac:dyDescent="0.35">
      <c r="A294" s="37" t="s">
        <v>890</v>
      </c>
      <c r="B294" s="37"/>
      <c r="C294" s="38" t="s">
        <v>57</v>
      </c>
      <c r="D294" s="39" t="s">
        <v>891</v>
      </c>
      <c r="E294" s="39">
        <f>COUNTIF(Questions!D:D,D294)</f>
        <v>2</v>
      </c>
      <c r="F294" s="39" t="s">
        <v>892</v>
      </c>
      <c r="G294" s="39" t="s">
        <v>2121</v>
      </c>
      <c r="H294" s="39" t="s">
        <v>893</v>
      </c>
      <c r="I294" s="39">
        <f>COUNTIF(Questions!H:H,H294)</f>
        <v>2</v>
      </c>
      <c r="J294" s="38"/>
    </row>
    <row r="295" spans="1:10" ht="22" customHeight="1" x14ac:dyDescent="0.35">
      <c r="A295" s="37" t="s">
        <v>894</v>
      </c>
      <c r="B295" s="37"/>
      <c r="C295" s="38" t="s">
        <v>57</v>
      </c>
      <c r="D295" s="39" t="s">
        <v>891</v>
      </c>
      <c r="E295" s="39">
        <f>COUNTIF(Questions!D:D,D295)</f>
        <v>2</v>
      </c>
      <c r="F295" s="39" t="s">
        <v>895</v>
      </c>
      <c r="G295" s="39" t="s">
        <v>2121</v>
      </c>
      <c r="H295" s="39" t="s">
        <v>893</v>
      </c>
      <c r="I295" s="39">
        <f>COUNTIF(Questions!H:H,H295)</f>
        <v>2</v>
      </c>
      <c r="J295" s="38"/>
    </row>
    <row r="296" spans="1:10" ht="22" customHeight="1" x14ac:dyDescent="0.35">
      <c r="A296" s="31" t="s">
        <v>896</v>
      </c>
      <c r="B296" s="31"/>
      <c r="C296" s="32" t="s">
        <v>176</v>
      </c>
      <c r="D296" s="33" t="s">
        <v>897</v>
      </c>
      <c r="E296" s="33">
        <f>COUNTIF(Questions!D:D,D296)</f>
        <v>2</v>
      </c>
      <c r="F296" s="33" t="s">
        <v>898</v>
      </c>
      <c r="G296" s="33" t="s">
        <v>179</v>
      </c>
      <c r="H296" s="33" t="s">
        <v>897</v>
      </c>
      <c r="I296" s="33">
        <f>COUNTIF(Questions!H:H,H296)</f>
        <v>2</v>
      </c>
      <c r="J296" s="32"/>
    </row>
    <row r="297" spans="1:10" ht="22" customHeight="1" x14ac:dyDescent="0.35">
      <c r="A297" s="31" t="s">
        <v>899</v>
      </c>
      <c r="B297" s="31"/>
      <c r="C297" s="32" t="s">
        <v>176</v>
      </c>
      <c r="D297" s="33" t="s">
        <v>897</v>
      </c>
      <c r="E297" s="33">
        <f>COUNTIF(Questions!D:D,D297)</f>
        <v>2</v>
      </c>
      <c r="F297" s="33" t="s">
        <v>900</v>
      </c>
      <c r="G297" s="33" t="s">
        <v>179</v>
      </c>
      <c r="H297" s="33" t="s">
        <v>897</v>
      </c>
      <c r="I297" s="33">
        <f>COUNTIF(Questions!H:H,H297)</f>
        <v>2</v>
      </c>
      <c r="J297" s="32"/>
    </row>
    <row r="298" spans="1:10" ht="22" customHeight="1" x14ac:dyDescent="0.35">
      <c r="A298" s="52" t="s">
        <v>901</v>
      </c>
      <c r="B298" s="52"/>
      <c r="C298" s="53" t="s">
        <v>176</v>
      </c>
      <c r="D298" s="54" t="s">
        <v>902</v>
      </c>
      <c r="E298" s="54">
        <f>COUNTIF(Questions!D:D,D298)</f>
        <v>2</v>
      </c>
      <c r="F298" s="54" t="s">
        <v>903</v>
      </c>
      <c r="G298" s="54" t="s">
        <v>179</v>
      </c>
      <c r="H298" s="54" t="s">
        <v>904</v>
      </c>
      <c r="I298" s="54">
        <f>COUNTIF(Questions!H:H,H298)</f>
        <v>2</v>
      </c>
      <c r="J298" s="53"/>
    </row>
    <row r="299" spans="1:10" ht="22" customHeight="1" x14ac:dyDescent="0.35">
      <c r="A299" s="52" t="s">
        <v>905</v>
      </c>
      <c r="B299" s="52"/>
      <c r="C299" s="53" t="s">
        <v>176</v>
      </c>
      <c r="D299" s="54" t="s">
        <v>902</v>
      </c>
      <c r="E299" s="54">
        <f>COUNTIF(Questions!D:D,D299)</f>
        <v>2</v>
      </c>
      <c r="F299" s="54" t="s">
        <v>906</v>
      </c>
      <c r="G299" s="54" t="s">
        <v>179</v>
      </c>
      <c r="H299" s="54" t="s">
        <v>904</v>
      </c>
      <c r="I299" s="54">
        <f>COUNTIF(Questions!H:H,H299)</f>
        <v>2</v>
      </c>
      <c r="J299" s="53"/>
    </row>
    <row r="300" spans="1:10" ht="22" customHeight="1" x14ac:dyDescent="0.35">
      <c r="A300" s="25" t="s">
        <v>907</v>
      </c>
      <c r="B300" s="25"/>
      <c r="C300" s="26" t="s">
        <v>216</v>
      </c>
      <c r="D300" s="27" t="s">
        <v>908</v>
      </c>
      <c r="E300" s="27">
        <f>COUNTIF(Questions!D:D,D300)</f>
        <v>2</v>
      </c>
      <c r="F300" s="27" t="s">
        <v>909</v>
      </c>
      <c r="G300" s="27" t="s">
        <v>2124</v>
      </c>
      <c r="H300" s="27" t="s">
        <v>910</v>
      </c>
      <c r="I300" s="27">
        <f>COUNTIF(Questions!H:H,H300)</f>
        <v>2</v>
      </c>
      <c r="J300" s="26"/>
    </row>
    <row r="301" spans="1:10" ht="22" customHeight="1" x14ac:dyDescent="0.35">
      <c r="A301" s="25" t="s">
        <v>911</v>
      </c>
      <c r="B301" s="25"/>
      <c r="C301" s="26" t="s">
        <v>216</v>
      </c>
      <c r="D301" s="27" t="s">
        <v>908</v>
      </c>
      <c r="E301" s="27">
        <f>COUNTIF(Questions!D:D,D301)</f>
        <v>2</v>
      </c>
      <c r="F301" s="27" t="s">
        <v>912</v>
      </c>
      <c r="G301" s="27" t="s">
        <v>2124</v>
      </c>
      <c r="H301" s="27" t="s">
        <v>910</v>
      </c>
      <c r="I301" s="27">
        <f>COUNTIF(Questions!H:H,H301)</f>
        <v>2</v>
      </c>
      <c r="J301" s="26"/>
    </row>
    <row r="302" spans="1:10" ht="22" customHeight="1" x14ac:dyDescent="0.35">
      <c r="A302" s="31" t="s">
        <v>913</v>
      </c>
      <c r="B302" s="31"/>
      <c r="C302" s="32" t="s">
        <v>8</v>
      </c>
      <c r="D302" s="33" t="s">
        <v>914</v>
      </c>
      <c r="E302" s="33">
        <f>COUNTIF(Questions!D:D,D302)</f>
        <v>2</v>
      </c>
      <c r="F302" s="33" t="s">
        <v>915</v>
      </c>
      <c r="G302" s="33" t="s">
        <v>11</v>
      </c>
      <c r="H302" s="33" t="s">
        <v>916</v>
      </c>
      <c r="I302" s="33">
        <f>COUNTIF(Questions!H:H,H302)</f>
        <v>2</v>
      </c>
      <c r="J302" s="32"/>
    </row>
    <row r="303" spans="1:10" ht="22" customHeight="1" x14ac:dyDescent="0.35">
      <c r="A303" s="31" t="s">
        <v>917</v>
      </c>
      <c r="B303" s="31"/>
      <c r="C303" s="32" t="s">
        <v>8</v>
      </c>
      <c r="D303" s="33" t="s">
        <v>914</v>
      </c>
      <c r="E303" s="33">
        <f>COUNTIF(Questions!D:D,D303)</f>
        <v>2</v>
      </c>
      <c r="F303" s="33" t="s">
        <v>918</v>
      </c>
      <c r="G303" s="33" t="s">
        <v>11</v>
      </c>
      <c r="H303" s="33" t="s">
        <v>916</v>
      </c>
      <c r="I303" s="33">
        <f>COUNTIF(Questions!H:H,H303)</f>
        <v>2</v>
      </c>
      <c r="J303" s="32"/>
    </row>
    <row r="304" spans="1:10" ht="22" customHeight="1" x14ac:dyDescent="0.35">
      <c r="A304" s="22" t="s">
        <v>919</v>
      </c>
      <c r="B304" s="22"/>
      <c r="C304" s="23" t="s">
        <v>16</v>
      </c>
      <c r="D304" s="24" t="s">
        <v>920</v>
      </c>
      <c r="E304" s="24">
        <f>COUNTIF(Questions!D:D,D304)</f>
        <v>2</v>
      </c>
      <c r="F304" s="24" t="s">
        <v>921</v>
      </c>
      <c r="G304" s="24" t="s">
        <v>19</v>
      </c>
      <c r="H304" s="24" t="s">
        <v>922</v>
      </c>
      <c r="I304" s="24">
        <f>COUNTIF(Questions!H:H,H304)</f>
        <v>2</v>
      </c>
      <c r="J304" s="23"/>
    </row>
    <row r="305" spans="1:10" ht="22" customHeight="1" x14ac:dyDescent="0.35">
      <c r="A305" s="22" t="s">
        <v>923</v>
      </c>
      <c r="B305" s="22"/>
      <c r="C305" s="23" t="s">
        <v>16</v>
      </c>
      <c r="D305" s="24" t="s">
        <v>920</v>
      </c>
      <c r="E305" s="24">
        <f>COUNTIF(Questions!D:D,D305)</f>
        <v>2</v>
      </c>
      <c r="F305" s="24" t="s">
        <v>924</v>
      </c>
      <c r="G305" s="24" t="s">
        <v>19</v>
      </c>
      <c r="H305" s="24" t="s">
        <v>922</v>
      </c>
      <c r="I305" s="24">
        <f>COUNTIF(Questions!H:H,H305)</f>
        <v>2</v>
      </c>
      <c r="J305" s="23"/>
    </row>
    <row r="306" spans="1:10" ht="22" customHeight="1" x14ac:dyDescent="0.35">
      <c r="A306" s="28" t="s">
        <v>925</v>
      </c>
      <c r="B306" s="28"/>
      <c r="C306" s="29" t="s">
        <v>72</v>
      </c>
      <c r="D306" s="30" t="s">
        <v>926</v>
      </c>
      <c r="E306" s="30">
        <f>COUNTIF(Questions!D:D,D306)</f>
        <v>2</v>
      </c>
      <c r="F306" s="30" t="s">
        <v>927</v>
      </c>
      <c r="G306" s="30" t="s">
        <v>2120</v>
      </c>
      <c r="H306" s="30" t="s">
        <v>928</v>
      </c>
      <c r="I306" s="30">
        <f>COUNTIF(Questions!H:H,H306)</f>
        <v>2</v>
      </c>
      <c r="J306" s="29"/>
    </row>
    <row r="307" spans="1:10" ht="22" customHeight="1" x14ac:dyDescent="0.35">
      <c r="A307" s="28" t="s">
        <v>929</v>
      </c>
      <c r="B307" s="28"/>
      <c r="C307" s="29" t="s">
        <v>72</v>
      </c>
      <c r="D307" s="30" t="s">
        <v>926</v>
      </c>
      <c r="E307" s="30">
        <f>COUNTIF(Questions!D:D,D307)</f>
        <v>2</v>
      </c>
      <c r="F307" s="30" t="s">
        <v>930</v>
      </c>
      <c r="G307" s="30" t="s">
        <v>2120</v>
      </c>
      <c r="H307" s="30" t="s">
        <v>928</v>
      </c>
      <c r="I307" s="30">
        <f>COUNTIF(Questions!H:H,H307)</f>
        <v>2</v>
      </c>
      <c r="J307" s="29"/>
    </row>
    <row r="308" spans="1:10" ht="22" customHeight="1" x14ac:dyDescent="0.35">
      <c r="A308" s="52" t="s">
        <v>931</v>
      </c>
      <c r="B308" s="52"/>
      <c r="C308" s="53" t="s">
        <v>24</v>
      </c>
      <c r="D308" s="54" t="s">
        <v>932</v>
      </c>
      <c r="E308" s="54">
        <f>COUNTIF(Questions!D:D,D308)</f>
        <v>2</v>
      </c>
      <c r="F308" s="54" t="s">
        <v>933</v>
      </c>
      <c r="G308" s="54" t="s">
        <v>27</v>
      </c>
      <c r="H308" s="54" t="s">
        <v>934</v>
      </c>
      <c r="I308" s="54">
        <f>COUNTIF(Questions!H:H,H308)</f>
        <v>2</v>
      </c>
      <c r="J308" s="53"/>
    </row>
    <row r="309" spans="1:10" ht="22" customHeight="1" x14ac:dyDescent="0.35">
      <c r="A309" s="52" t="s">
        <v>935</v>
      </c>
      <c r="B309" s="52"/>
      <c r="C309" s="53" t="s">
        <v>24</v>
      </c>
      <c r="D309" s="54" t="s">
        <v>932</v>
      </c>
      <c r="E309" s="54">
        <f>COUNTIF(Questions!D:D,D309)</f>
        <v>2</v>
      </c>
      <c r="F309" s="54" t="s">
        <v>936</v>
      </c>
      <c r="G309" s="54" t="s">
        <v>27</v>
      </c>
      <c r="H309" s="54" t="s">
        <v>934</v>
      </c>
      <c r="I309" s="54">
        <f>COUNTIF(Questions!H:H,H309)</f>
        <v>2</v>
      </c>
      <c r="J309" s="53"/>
    </row>
    <row r="310" spans="1:10" ht="22" customHeight="1" x14ac:dyDescent="0.35">
      <c r="A310" s="13" t="s">
        <v>937</v>
      </c>
      <c r="B310" s="13"/>
      <c r="C310" s="14" t="s">
        <v>79</v>
      </c>
      <c r="D310" s="15" t="s">
        <v>938</v>
      </c>
      <c r="E310" s="15">
        <f>COUNTIF(Questions!D:D,D310)</f>
        <v>2</v>
      </c>
      <c r="F310" s="15" t="s">
        <v>939</v>
      </c>
      <c r="G310" s="15" t="s">
        <v>2043</v>
      </c>
      <c r="H310" s="15" t="s">
        <v>940</v>
      </c>
      <c r="I310" s="15">
        <f>COUNTIF(Questions!H:H,H310)</f>
        <v>2</v>
      </c>
      <c r="J310" s="14"/>
    </row>
    <row r="311" spans="1:10" ht="22" customHeight="1" x14ac:dyDescent="0.35">
      <c r="A311" s="13" t="s">
        <v>941</v>
      </c>
      <c r="B311" s="13"/>
      <c r="C311" s="14" t="s">
        <v>79</v>
      </c>
      <c r="D311" s="15" t="s">
        <v>938</v>
      </c>
      <c r="E311" s="15">
        <f>COUNTIF(Questions!D:D,D311)</f>
        <v>2</v>
      </c>
      <c r="F311" s="15" t="s">
        <v>942</v>
      </c>
      <c r="G311" s="15" t="s">
        <v>2043</v>
      </c>
      <c r="H311" s="15" t="s">
        <v>940</v>
      </c>
      <c r="I311" s="15">
        <f>COUNTIF(Questions!H:H,H311)</f>
        <v>2</v>
      </c>
      <c r="J311" s="14"/>
    </row>
    <row r="312" spans="1:10" ht="22" customHeight="1" x14ac:dyDescent="0.35">
      <c r="A312" s="28" t="s">
        <v>943</v>
      </c>
      <c r="B312" s="28"/>
      <c r="C312" s="29" t="s">
        <v>216</v>
      </c>
      <c r="D312" s="30" t="s">
        <v>944</v>
      </c>
      <c r="E312" s="30">
        <f>COUNTIF(Questions!D:D,D312)</f>
        <v>2</v>
      </c>
      <c r="F312" s="30" t="s">
        <v>945</v>
      </c>
      <c r="G312" s="30" t="s">
        <v>2124</v>
      </c>
      <c r="H312" s="30" t="s">
        <v>946</v>
      </c>
      <c r="I312" s="30">
        <f>COUNTIF(Questions!H:H,H312)</f>
        <v>2</v>
      </c>
      <c r="J312" s="29"/>
    </row>
    <row r="313" spans="1:10" ht="22" customHeight="1" x14ac:dyDescent="0.35">
      <c r="A313" s="28" t="s">
        <v>947</v>
      </c>
      <c r="B313" s="28"/>
      <c r="C313" s="29" t="s">
        <v>216</v>
      </c>
      <c r="D313" s="30" t="s">
        <v>944</v>
      </c>
      <c r="E313" s="30">
        <f>COUNTIF(Questions!D:D,D313)</f>
        <v>2</v>
      </c>
      <c r="F313" s="30" t="s">
        <v>948</v>
      </c>
      <c r="G313" s="30" t="s">
        <v>2124</v>
      </c>
      <c r="H313" s="30" t="s">
        <v>946</v>
      </c>
      <c r="I313" s="30">
        <f>COUNTIF(Questions!H:H,H313)</f>
        <v>2</v>
      </c>
      <c r="J313" s="29"/>
    </row>
    <row r="314" spans="1:10" ht="22" customHeight="1" x14ac:dyDescent="0.35">
      <c r="A314" s="37" t="s">
        <v>949</v>
      </c>
      <c r="B314" s="37"/>
      <c r="C314" s="38" t="s">
        <v>57</v>
      </c>
      <c r="D314" s="39" t="s">
        <v>950</v>
      </c>
      <c r="E314" s="39">
        <f>COUNTIF(Questions!D:D,D314)</f>
        <v>2</v>
      </c>
      <c r="F314" s="39" t="s">
        <v>951</v>
      </c>
      <c r="G314" s="39" t="s">
        <v>2121</v>
      </c>
      <c r="H314" s="39" t="s">
        <v>952</v>
      </c>
      <c r="I314" s="39">
        <f>COUNTIF(Questions!H:H,H314)</f>
        <v>2</v>
      </c>
      <c r="J314" s="38"/>
    </row>
    <row r="315" spans="1:10" ht="22" customHeight="1" x14ac:dyDescent="0.35">
      <c r="A315" s="37" t="s">
        <v>953</v>
      </c>
      <c r="B315" s="37"/>
      <c r="C315" s="38" t="s">
        <v>57</v>
      </c>
      <c r="D315" s="39" t="s">
        <v>950</v>
      </c>
      <c r="E315" s="39">
        <f>COUNTIF(Questions!D:D,D315)</f>
        <v>2</v>
      </c>
      <c r="F315" s="39" t="s">
        <v>954</v>
      </c>
      <c r="G315" s="39" t="s">
        <v>2121</v>
      </c>
      <c r="H315" s="39" t="s">
        <v>952</v>
      </c>
      <c r="I315" s="39">
        <f>COUNTIF(Questions!H:H,H315)</f>
        <v>2</v>
      </c>
      <c r="J315" s="38"/>
    </row>
    <row r="316" spans="1:10" ht="22" customHeight="1" x14ac:dyDescent="0.35">
      <c r="A316" s="37" t="s">
        <v>955</v>
      </c>
      <c r="B316" s="37"/>
      <c r="C316" s="38" t="s">
        <v>57</v>
      </c>
      <c r="D316" s="39" t="s">
        <v>956</v>
      </c>
      <c r="E316" s="39">
        <f>COUNTIF(Questions!D:D,D316)</f>
        <v>2</v>
      </c>
      <c r="F316" s="39" t="s">
        <v>957</v>
      </c>
      <c r="G316" s="39" t="s">
        <v>2121</v>
      </c>
      <c r="H316" s="39" t="s">
        <v>958</v>
      </c>
      <c r="I316" s="39">
        <f>COUNTIF(Questions!H:H,H316)</f>
        <v>2</v>
      </c>
      <c r="J316" s="38"/>
    </row>
    <row r="317" spans="1:10" ht="22" customHeight="1" x14ac:dyDescent="0.35">
      <c r="A317" s="13" t="s">
        <v>959</v>
      </c>
      <c r="B317" s="13"/>
      <c r="C317" s="14" t="s">
        <v>79</v>
      </c>
      <c r="D317" s="15" t="s">
        <v>960</v>
      </c>
      <c r="E317" s="15">
        <f>COUNTIF(Questions!D:D,D317)</f>
        <v>2</v>
      </c>
      <c r="F317" s="15" t="s">
        <v>961</v>
      </c>
      <c r="G317" s="15" t="s">
        <v>2043</v>
      </c>
      <c r="H317" s="15" t="s">
        <v>962</v>
      </c>
      <c r="I317" s="15">
        <f>COUNTIF(Questions!H:H,H317)</f>
        <v>2</v>
      </c>
      <c r="J317" s="14"/>
    </row>
    <row r="318" spans="1:10" ht="22" customHeight="1" x14ac:dyDescent="0.35">
      <c r="A318" s="13" t="s">
        <v>963</v>
      </c>
      <c r="B318" s="13"/>
      <c r="C318" s="14" t="s">
        <v>79</v>
      </c>
      <c r="D318" s="15" t="s">
        <v>960</v>
      </c>
      <c r="E318" s="15">
        <f>COUNTIF(Questions!D:D,D318)</f>
        <v>2</v>
      </c>
      <c r="F318" s="15" t="s">
        <v>964</v>
      </c>
      <c r="G318" s="15" t="s">
        <v>2043</v>
      </c>
      <c r="H318" s="15" t="s">
        <v>962</v>
      </c>
      <c r="I318" s="15">
        <f>COUNTIF(Questions!H:H,H318)</f>
        <v>2</v>
      </c>
      <c r="J318" s="14"/>
    </row>
    <row r="319" spans="1:10" ht="22" customHeight="1" x14ac:dyDescent="0.35">
      <c r="A319" s="37" t="s">
        <v>965</v>
      </c>
      <c r="B319" s="37"/>
      <c r="C319" s="38" t="s">
        <v>57</v>
      </c>
      <c r="D319" s="39" t="s">
        <v>966</v>
      </c>
      <c r="E319" s="39">
        <f>COUNTIF(Questions!D:D,D319)</f>
        <v>2</v>
      </c>
      <c r="F319" s="39" t="s">
        <v>967</v>
      </c>
      <c r="G319" s="39" t="s">
        <v>2121</v>
      </c>
      <c r="H319" s="39" t="s">
        <v>968</v>
      </c>
      <c r="I319" s="39">
        <f>COUNTIF(Questions!H:H,H319)</f>
        <v>2</v>
      </c>
      <c r="J319" s="38"/>
    </row>
    <row r="320" spans="1:10" ht="22" customHeight="1" x14ac:dyDescent="0.35">
      <c r="A320" s="37" t="s">
        <v>969</v>
      </c>
      <c r="B320" s="37"/>
      <c r="C320" s="38" t="s">
        <v>57</v>
      </c>
      <c r="D320" s="39" t="s">
        <v>966</v>
      </c>
      <c r="E320" s="39">
        <f>COUNTIF(Questions!D:D,D320)</f>
        <v>2</v>
      </c>
      <c r="F320" s="39" t="s">
        <v>970</v>
      </c>
      <c r="G320" s="39" t="s">
        <v>2121</v>
      </c>
      <c r="H320" s="39" t="s">
        <v>968</v>
      </c>
      <c r="I320" s="39">
        <f>COUNTIF(Questions!H:H,H320)</f>
        <v>2</v>
      </c>
      <c r="J320" s="38"/>
    </row>
    <row r="321" spans="1:10" ht="22" customHeight="1" x14ac:dyDescent="0.35">
      <c r="A321" s="25" t="s">
        <v>971</v>
      </c>
      <c r="B321" s="25"/>
      <c r="C321" s="26" t="s">
        <v>216</v>
      </c>
      <c r="D321" s="27" t="s">
        <v>972</v>
      </c>
      <c r="E321" s="27">
        <f>COUNTIF(Questions!D:D,D321)</f>
        <v>2</v>
      </c>
      <c r="F321" s="27" t="s">
        <v>973</v>
      </c>
      <c r="G321" s="27" t="s">
        <v>2124</v>
      </c>
      <c r="H321" s="27" t="s">
        <v>974</v>
      </c>
      <c r="I321" s="27">
        <f>COUNTIF(Questions!H:H,H321)</f>
        <v>2</v>
      </c>
      <c r="J321" s="26"/>
    </row>
    <row r="322" spans="1:10" ht="22" customHeight="1" x14ac:dyDescent="0.35">
      <c r="A322" s="25" t="s">
        <v>975</v>
      </c>
      <c r="B322" s="25"/>
      <c r="C322" s="26" t="s">
        <v>216</v>
      </c>
      <c r="D322" s="27" t="s">
        <v>972</v>
      </c>
      <c r="E322" s="27">
        <f>COUNTIF(Questions!D:D,D322)</f>
        <v>2</v>
      </c>
      <c r="F322" s="27" t="s">
        <v>976</v>
      </c>
      <c r="G322" s="27" t="s">
        <v>2124</v>
      </c>
      <c r="H322" s="27" t="s">
        <v>974</v>
      </c>
      <c r="I322" s="27">
        <f>COUNTIF(Questions!H:H,H322)</f>
        <v>2</v>
      </c>
      <c r="J322" s="26">
        <v>23</v>
      </c>
    </row>
    <row r="323" spans="1:10" ht="22" customHeight="1" x14ac:dyDescent="0.35">
      <c r="A323" s="37" t="s">
        <v>977</v>
      </c>
      <c r="B323" s="37"/>
      <c r="C323" s="38" t="s">
        <v>8</v>
      </c>
      <c r="D323" s="39" t="s">
        <v>978</v>
      </c>
      <c r="E323" s="39">
        <f>COUNTIF(Questions!D:D,D323)</f>
        <v>2</v>
      </c>
      <c r="F323" s="39" t="s">
        <v>979</v>
      </c>
      <c r="G323" s="39" t="s">
        <v>11</v>
      </c>
      <c r="H323" s="39" t="s">
        <v>980</v>
      </c>
      <c r="I323" s="39">
        <f>COUNTIF(Questions!H:H,H323)</f>
        <v>2</v>
      </c>
      <c r="J323" s="38"/>
    </row>
    <row r="324" spans="1:10" ht="22" customHeight="1" x14ac:dyDescent="0.35">
      <c r="A324" s="37" t="s">
        <v>981</v>
      </c>
      <c r="B324" s="37"/>
      <c r="C324" s="38" t="s">
        <v>57</v>
      </c>
      <c r="D324" s="39" t="s">
        <v>956</v>
      </c>
      <c r="E324" s="39">
        <f>COUNTIF(Questions!D:D,D324)</f>
        <v>2</v>
      </c>
      <c r="F324" s="39" t="s">
        <v>982</v>
      </c>
      <c r="G324" s="39" t="s">
        <v>2121</v>
      </c>
      <c r="H324" s="39" t="s">
        <v>958</v>
      </c>
      <c r="I324" s="39">
        <f>COUNTIF(Questions!H:H,H324)</f>
        <v>2</v>
      </c>
      <c r="J324" s="38"/>
    </row>
    <row r="325" spans="1:10" ht="22" customHeight="1" x14ac:dyDescent="0.35">
      <c r="A325" s="37" t="s">
        <v>983</v>
      </c>
      <c r="B325" s="37"/>
      <c r="C325" s="38" t="s">
        <v>8</v>
      </c>
      <c r="D325" s="39" t="s">
        <v>978</v>
      </c>
      <c r="E325" s="39">
        <f>COUNTIF(Questions!D:D,D325)</f>
        <v>2</v>
      </c>
      <c r="F325" s="39" t="s">
        <v>984</v>
      </c>
      <c r="G325" s="39" t="s">
        <v>11</v>
      </c>
      <c r="H325" s="39" t="s">
        <v>980</v>
      </c>
      <c r="I325" s="39">
        <f>COUNTIF(Questions!H:H,H325)</f>
        <v>2</v>
      </c>
      <c r="J325" s="38"/>
    </row>
    <row r="326" spans="1:10" ht="22" customHeight="1" x14ac:dyDescent="0.35">
      <c r="A326" s="37" t="s">
        <v>985</v>
      </c>
      <c r="B326" s="37"/>
      <c r="C326" s="38" t="s">
        <v>57</v>
      </c>
      <c r="D326" s="39" t="s">
        <v>986</v>
      </c>
      <c r="E326" s="39">
        <f>COUNTIF(Questions!D:D,D326)</f>
        <v>2</v>
      </c>
      <c r="F326" s="39" t="s">
        <v>987</v>
      </c>
      <c r="G326" s="39" t="s">
        <v>2121</v>
      </c>
      <c r="H326" s="39" t="s">
        <v>988</v>
      </c>
      <c r="I326" s="39">
        <f>COUNTIF(Questions!H:H,H326)</f>
        <v>2</v>
      </c>
      <c r="J326" s="38"/>
    </row>
    <row r="327" spans="1:10" ht="22" customHeight="1" x14ac:dyDescent="0.35">
      <c r="A327" s="37" t="s">
        <v>989</v>
      </c>
      <c r="B327" s="37"/>
      <c r="C327" s="38" t="s">
        <v>57</v>
      </c>
      <c r="D327" s="39" t="s">
        <v>986</v>
      </c>
      <c r="E327" s="39">
        <f>COUNTIF(Questions!D:D,D327)</f>
        <v>2</v>
      </c>
      <c r="F327" s="39" t="s">
        <v>990</v>
      </c>
      <c r="G327" s="39" t="s">
        <v>2121</v>
      </c>
      <c r="H327" s="39" t="s">
        <v>988</v>
      </c>
      <c r="I327" s="39">
        <f>COUNTIF(Questions!H:H,H327)</f>
        <v>2</v>
      </c>
      <c r="J327" s="38"/>
    </row>
    <row r="328" spans="1:10" ht="22" customHeight="1" x14ac:dyDescent="0.35">
      <c r="A328" s="37" t="s">
        <v>991</v>
      </c>
      <c r="B328" s="37"/>
      <c r="C328" s="38" t="s">
        <v>57</v>
      </c>
      <c r="D328" s="39" t="s">
        <v>992</v>
      </c>
      <c r="E328" s="39">
        <f>COUNTIF(Questions!D:D,D328)</f>
        <v>2</v>
      </c>
      <c r="F328" s="39" t="s">
        <v>993</v>
      </c>
      <c r="G328" s="39" t="s">
        <v>2121</v>
      </c>
      <c r="H328" s="39" t="s">
        <v>994</v>
      </c>
      <c r="I328" s="39">
        <f>COUNTIF(Questions!H:H,H328)</f>
        <v>2</v>
      </c>
      <c r="J328" s="38"/>
    </row>
    <row r="329" spans="1:10" ht="22" customHeight="1" x14ac:dyDescent="0.35">
      <c r="A329" s="37" t="s">
        <v>995</v>
      </c>
      <c r="B329" s="37"/>
      <c r="C329" s="38" t="s">
        <v>57</v>
      </c>
      <c r="D329" s="39" t="s">
        <v>992</v>
      </c>
      <c r="E329" s="39">
        <f>COUNTIF(Questions!D:D,D329)</f>
        <v>2</v>
      </c>
      <c r="F329" s="39" t="s">
        <v>996</v>
      </c>
      <c r="G329" s="39" t="s">
        <v>2121</v>
      </c>
      <c r="H329" s="39" t="s">
        <v>994</v>
      </c>
      <c r="I329" s="39">
        <f>COUNTIF(Questions!H:H,H329)</f>
        <v>2</v>
      </c>
      <c r="J329" s="38"/>
    </row>
    <row r="330" spans="1:10" ht="22" customHeight="1" x14ac:dyDescent="0.35">
      <c r="A330" s="43" t="s">
        <v>997</v>
      </c>
      <c r="B330" s="43"/>
      <c r="C330" s="44" t="s">
        <v>8</v>
      </c>
      <c r="D330" s="45" t="s">
        <v>998</v>
      </c>
      <c r="E330" s="45">
        <f>COUNTIF(Questions!D:D,D330)</f>
        <v>2</v>
      </c>
      <c r="F330" s="45" t="s">
        <v>999</v>
      </c>
      <c r="G330" s="45" t="s">
        <v>11</v>
      </c>
      <c r="H330" s="45" t="s">
        <v>1000</v>
      </c>
      <c r="I330" s="45">
        <f>COUNTIF(Questions!H:H,H330)</f>
        <v>2</v>
      </c>
      <c r="J330" s="44"/>
    </row>
    <row r="331" spans="1:10" ht="22" customHeight="1" x14ac:dyDescent="0.35">
      <c r="A331" s="43" t="s">
        <v>1001</v>
      </c>
      <c r="B331" s="43"/>
      <c r="C331" s="44" t="s">
        <v>8</v>
      </c>
      <c r="D331" s="45" t="s">
        <v>998</v>
      </c>
      <c r="E331" s="45">
        <f>COUNTIF(Questions!D:D,D331)</f>
        <v>2</v>
      </c>
      <c r="F331" s="45" t="s">
        <v>1002</v>
      </c>
      <c r="G331" s="45" t="s">
        <v>11</v>
      </c>
      <c r="H331" s="45" t="s">
        <v>1000</v>
      </c>
      <c r="I331" s="45">
        <f>COUNTIF(Questions!H:H,H331)</f>
        <v>2</v>
      </c>
      <c r="J331" s="44"/>
    </row>
    <row r="332" spans="1:10" ht="22" customHeight="1" x14ac:dyDescent="0.35">
      <c r="A332" s="43" t="s">
        <v>1003</v>
      </c>
      <c r="B332" s="43"/>
      <c r="C332" s="44" t="s">
        <v>8</v>
      </c>
      <c r="D332" s="45" t="s">
        <v>1004</v>
      </c>
      <c r="E332" s="45">
        <f>COUNTIF(Questions!D:D,D332)</f>
        <v>2</v>
      </c>
      <c r="F332" s="45" t="s">
        <v>1005</v>
      </c>
      <c r="G332" s="45" t="s">
        <v>11</v>
      </c>
      <c r="H332" s="45" t="s">
        <v>1006</v>
      </c>
      <c r="I332" s="45">
        <f>COUNTIF(Questions!H:H,H332)</f>
        <v>2</v>
      </c>
      <c r="J332" s="44"/>
    </row>
    <row r="333" spans="1:10" ht="22" customHeight="1" x14ac:dyDescent="0.35">
      <c r="A333" s="43" t="s">
        <v>1007</v>
      </c>
      <c r="B333" s="43"/>
      <c r="C333" s="44" t="s">
        <v>8</v>
      </c>
      <c r="D333" s="45" t="s">
        <v>1004</v>
      </c>
      <c r="E333" s="45">
        <f>COUNTIF(Questions!D:D,D333)</f>
        <v>2</v>
      </c>
      <c r="F333" s="45" t="s">
        <v>1008</v>
      </c>
      <c r="G333" s="45" t="s">
        <v>11</v>
      </c>
      <c r="H333" s="45" t="s">
        <v>1006</v>
      </c>
      <c r="I333" s="45">
        <f>COUNTIF(Questions!H:H,H333)</f>
        <v>2</v>
      </c>
      <c r="J333" s="44"/>
    </row>
    <row r="334" spans="1:10" ht="22" customHeight="1" x14ac:dyDescent="0.35">
      <c r="A334" s="43" t="s">
        <v>1009</v>
      </c>
      <c r="B334" s="43"/>
      <c r="C334" s="44" t="s">
        <v>8</v>
      </c>
      <c r="D334" s="45" t="s">
        <v>1010</v>
      </c>
      <c r="E334" s="45">
        <f>COUNTIF(Questions!D:D,D334)</f>
        <v>2</v>
      </c>
      <c r="F334" s="45" t="s">
        <v>1011</v>
      </c>
      <c r="G334" s="45" t="s">
        <v>11</v>
      </c>
      <c r="H334" s="45" t="s">
        <v>1012</v>
      </c>
      <c r="I334" s="45">
        <f>COUNTIF(Questions!H:H,H334)</f>
        <v>2</v>
      </c>
      <c r="J334" s="44"/>
    </row>
    <row r="335" spans="1:10" ht="22" customHeight="1" x14ac:dyDescent="0.35">
      <c r="A335" s="43" t="s">
        <v>1013</v>
      </c>
      <c r="B335" s="43"/>
      <c r="C335" s="44" t="s">
        <v>8</v>
      </c>
      <c r="D335" s="45" t="s">
        <v>1010</v>
      </c>
      <c r="E335" s="45">
        <f>COUNTIF(Questions!D:D,D335)</f>
        <v>2</v>
      </c>
      <c r="F335" s="45" t="s">
        <v>1014</v>
      </c>
      <c r="G335" s="45" t="s">
        <v>11</v>
      </c>
      <c r="H335" s="45" t="s">
        <v>1012</v>
      </c>
      <c r="I335" s="45">
        <f>COUNTIF(Questions!H:H,H335)</f>
        <v>2</v>
      </c>
      <c r="J335" s="44"/>
    </row>
    <row r="336" spans="1:10" ht="22" customHeight="1" x14ac:dyDescent="0.35">
      <c r="A336" s="28" t="s">
        <v>1015</v>
      </c>
      <c r="B336" s="28"/>
      <c r="C336" s="29" t="s">
        <v>176</v>
      </c>
      <c r="D336" s="30" t="s">
        <v>1016</v>
      </c>
      <c r="E336" s="30">
        <f>COUNTIF(Questions!D:D,D336)</f>
        <v>2</v>
      </c>
      <c r="F336" s="30" t="s">
        <v>1017</v>
      </c>
      <c r="G336" s="30" t="s">
        <v>179</v>
      </c>
      <c r="H336" s="30" t="s">
        <v>1018</v>
      </c>
      <c r="I336" s="30">
        <f>COUNTIF(Questions!H:H,H336)</f>
        <v>2</v>
      </c>
      <c r="J336" s="29"/>
    </row>
    <row r="337" spans="1:10" ht="22" customHeight="1" x14ac:dyDescent="0.35">
      <c r="A337" s="28" t="s">
        <v>1019</v>
      </c>
      <c r="B337" s="28"/>
      <c r="C337" s="29" t="s">
        <v>176</v>
      </c>
      <c r="D337" s="30" t="s">
        <v>1016</v>
      </c>
      <c r="E337" s="30">
        <f>COUNTIF(Questions!D:D,D337)</f>
        <v>2</v>
      </c>
      <c r="F337" s="30" t="s">
        <v>1020</v>
      </c>
      <c r="G337" s="30" t="s">
        <v>179</v>
      </c>
      <c r="H337" s="30" t="s">
        <v>1018</v>
      </c>
      <c r="I337" s="30">
        <f>COUNTIF(Questions!H:H,H337)</f>
        <v>2</v>
      </c>
      <c r="J337" s="29" t="s">
        <v>843</v>
      </c>
    </row>
    <row r="338" spans="1:10" ht="22" customHeight="1" x14ac:dyDescent="0.35">
      <c r="A338" s="22" t="s">
        <v>1021</v>
      </c>
      <c r="B338" s="22"/>
      <c r="C338" s="23" t="s">
        <v>16</v>
      </c>
      <c r="D338" s="24" t="s">
        <v>1022</v>
      </c>
      <c r="E338" s="24">
        <f>COUNTIF(Questions!D:D,D338)</f>
        <v>2</v>
      </c>
      <c r="F338" s="24" t="s">
        <v>1023</v>
      </c>
      <c r="G338" s="24" t="s">
        <v>19</v>
      </c>
      <c r="H338" s="102" t="s">
        <v>2182</v>
      </c>
      <c r="I338" s="24">
        <f>COUNTIF(Questions!H:H,H338)</f>
        <v>2</v>
      </c>
      <c r="J338" s="23"/>
    </row>
    <row r="339" spans="1:10" ht="22" customHeight="1" x14ac:dyDescent="0.35">
      <c r="A339" s="22" t="s">
        <v>1025</v>
      </c>
      <c r="B339" s="22"/>
      <c r="C339" s="23" t="s">
        <v>16</v>
      </c>
      <c r="D339" s="24" t="s">
        <v>1022</v>
      </c>
      <c r="E339" s="24">
        <f>COUNTIF(Questions!D:D,D339)</f>
        <v>2</v>
      </c>
      <c r="F339" s="24" t="s">
        <v>1026</v>
      </c>
      <c r="G339" s="24" t="s">
        <v>19</v>
      </c>
      <c r="H339" s="102" t="s">
        <v>2182</v>
      </c>
      <c r="I339" s="24">
        <f>COUNTIF(Questions!H:H,H339)</f>
        <v>2</v>
      </c>
      <c r="J339" s="23"/>
    </row>
    <row r="340" spans="1:10" ht="22" customHeight="1" x14ac:dyDescent="0.35">
      <c r="A340" s="25" t="s">
        <v>1027</v>
      </c>
      <c r="B340" s="25"/>
      <c r="C340" s="26" t="s">
        <v>216</v>
      </c>
      <c r="D340" s="27" t="s">
        <v>1028</v>
      </c>
      <c r="E340" s="27">
        <f>COUNTIF(Questions!D:D,D340)</f>
        <v>2</v>
      </c>
      <c r="F340" s="27" t="s">
        <v>1029</v>
      </c>
      <c r="G340" s="27" t="s">
        <v>2124</v>
      </c>
      <c r="H340" s="27" t="s">
        <v>1030</v>
      </c>
      <c r="I340" s="27">
        <f>COUNTIF(Questions!H:H,H340)</f>
        <v>2</v>
      </c>
      <c r="J340" s="26"/>
    </row>
    <row r="341" spans="1:10" ht="22" customHeight="1" x14ac:dyDescent="0.35">
      <c r="A341" s="25" t="s">
        <v>1031</v>
      </c>
      <c r="B341" s="25"/>
      <c r="C341" s="26" t="s">
        <v>216</v>
      </c>
      <c r="D341" s="27" t="s">
        <v>1028</v>
      </c>
      <c r="E341" s="27">
        <f>COUNTIF(Questions!D:D,D341)</f>
        <v>2</v>
      </c>
      <c r="F341" s="27" t="s">
        <v>1032</v>
      </c>
      <c r="G341" s="27" t="s">
        <v>2124</v>
      </c>
      <c r="H341" s="27" t="s">
        <v>1030</v>
      </c>
      <c r="I341" s="27">
        <f>COUNTIF(Questions!H:H,H341)</f>
        <v>2</v>
      </c>
      <c r="J341" s="26"/>
    </row>
    <row r="342" spans="1:10" ht="22" customHeight="1" x14ac:dyDescent="0.35">
      <c r="A342" s="40" t="s">
        <v>1033</v>
      </c>
      <c r="B342" s="40"/>
      <c r="C342" s="41" t="s">
        <v>145</v>
      </c>
      <c r="D342" s="42" t="s">
        <v>1034</v>
      </c>
      <c r="E342" s="42">
        <f>COUNTIF(Questions!D:D,D342)</f>
        <v>2</v>
      </c>
      <c r="F342" s="42" t="s">
        <v>1035</v>
      </c>
      <c r="G342" s="42" t="s">
        <v>2127</v>
      </c>
      <c r="H342" s="42" t="s">
        <v>1036</v>
      </c>
      <c r="I342" s="42">
        <f>COUNTIF(Questions!H:H,H342)</f>
        <v>2</v>
      </c>
      <c r="J342" s="41"/>
    </row>
    <row r="343" spans="1:10" ht="22" customHeight="1" x14ac:dyDescent="0.35">
      <c r="A343" s="40" t="s">
        <v>1037</v>
      </c>
      <c r="B343" s="40"/>
      <c r="C343" s="41" t="s">
        <v>145</v>
      </c>
      <c r="D343" s="42" t="s">
        <v>1034</v>
      </c>
      <c r="E343" s="42">
        <f>COUNTIF(Questions!D:D,D343)</f>
        <v>2</v>
      </c>
      <c r="F343" s="42" t="s">
        <v>1038</v>
      </c>
      <c r="G343" s="42" t="s">
        <v>2127</v>
      </c>
      <c r="H343" s="42" t="s">
        <v>1036</v>
      </c>
      <c r="I343" s="42">
        <f>COUNTIF(Questions!H:H,H343)</f>
        <v>2</v>
      </c>
      <c r="J343" s="41"/>
    </row>
    <row r="344" spans="1:10" ht="22" customHeight="1" x14ac:dyDescent="0.35">
      <c r="A344" s="31" t="s">
        <v>1039</v>
      </c>
      <c r="B344" s="31"/>
      <c r="C344" s="32" t="s">
        <v>57</v>
      </c>
      <c r="D344" s="33" t="s">
        <v>1040</v>
      </c>
      <c r="E344" s="33">
        <f>COUNTIF(Questions!D:D,D344)</f>
        <v>2</v>
      </c>
      <c r="F344" s="33" t="s">
        <v>1041</v>
      </c>
      <c r="G344" s="33" t="s">
        <v>2121</v>
      </c>
      <c r="H344" s="33" t="s">
        <v>1042</v>
      </c>
      <c r="I344" s="33">
        <f>COUNTIF(Questions!H:H,H344)</f>
        <v>2</v>
      </c>
      <c r="J344" s="32"/>
    </row>
    <row r="345" spans="1:10" ht="22" customHeight="1" x14ac:dyDescent="0.35">
      <c r="A345" s="31" t="s">
        <v>1043</v>
      </c>
      <c r="B345" s="31"/>
      <c r="C345" s="32" t="s">
        <v>57</v>
      </c>
      <c r="D345" s="33" t="s">
        <v>1040</v>
      </c>
      <c r="E345" s="33">
        <f>COUNTIF(Questions!D:D,D345)</f>
        <v>2</v>
      </c>
      <c r="F345" s="33" t="s">
        <v>1044</v>
      </c>
      <c r="G345" s="33" t="s">
        <v>2121</v>
      </c>
      <c r="H345" s="33" t="s">
        <v>1042</v>
      </c>
      <c r="I345" s="33">
        <f>COUNTIF(Questions!H:H,H345)</f>
        <v>2</v>
      </c>
      <c r="J345" s="32"/>
    </row>
    <row r="346" spans="1:10" ht="22" customHeight="1" x14ac:dyDescent="0.35">
      <c r="A346" s="13" t="s">
        <v>1045</v>
      </c>
      <c r="B346" s="13"/>
      <c r="C346" s="14" t="s">
        <v>79</v>
      </c>
      <c r="D346" s="15" t="s">
        <v>1046</v>
      </c>
      <c r="E346" s="15">
        <f>COUNTIF(Questions!D:D,D346)</f>
        <v>2</v>
      </c>
      <c r="F346" s="15" t="s">
        <v>1047</v>
      </c>
      <c r="G346" s="15" t="s">
        <v>2043</v>
      </c>
      <c r="H346" s="15" t="s">
        <v>1048</v>
      </c>
      <c r="I346" s="15">
        <f>COUNTIF(Questions!H:H,H346)</f>
        <v>2</v>
      </c>
      <c r="J346" s="14"/>
    </row>
    <row r="347" spans="1:10" ht="22" customHeight="1" x14ac:dyDescent="0.35">
      <c r="A347" s="13" t="s">
        <v>1049</v>
      </c>
      <c r="B347" s="13"/>
      <c r="C347" s="14" t="s">
        <v>79</v>
      </c>
      <c r="D347" s="15" t="s">
        <v>1046</v>
      </c>
      <c r="E347" s="15">
        <f>COUNTIF(Questions!D:D,D347)</f>
        <v>2</v>
      </c>
      <c r="F347" s="15" t="s">
        <v>1050</v>
      </c>
      <c r="G347" s="15" t="s">
        <v>2043</v>
      </c>
      <c r="H347" s="15" t="s">
        <v>1048</v>
      </c>
      <c r="I347" s="15">
        <f>COUNTIF(Questions!H:H,H347)</f>
        <v>2</v>
      </c>
      <c r="J347" s="14"/>
    </row>
    <row r="348" spans="1:10" ht="22" customHeight="1" x14ac:dyDescent="0.35">
      <c r="A348" s="46" t="s">
        <v>1051</v>
      </c>
      <c r="B348" s="46"/>
      <c r="C348" s="47" t="s">
        <v>24</v>
      </c>
      <c r="D348" s="48" t="s">
        <v>1052</v>
      </c>
      <c r="E348" s="48">
        <f>COUNTIF(Questions!D:D,D348)</f>
        <v>2</v>
      </c>
      <c r="F348" s="48" t="s">
        <v>1053</v>
      </c>
      <c r="G348" s="48" t="s">
        <v>27</v>
      </c>
      <c r="H348" s="48" t="s">
        <v>1054</v>
      </c>
      <c r="I348" s="48">
        <f>COUNTIF(Questions!H:H,H348)</f>
        <v>2</v>
      </c>
      <c r="J348" s="47"/>
    </row>
    <row r="349" spans="1:10" ht="22" customHeight="1" x14ac:dyDescent="0.35">
      <c r="A349" s="46" t="s">
        <v>1055</v>
      </c>
      <c r="B349" s="46"/>
      <c r="C349" s="47" t="s">
        <v>24</v>
      </c>
      <c r="D349" s="48" t="s">
        <v>1052</v>
      </c>
      <c r="E349" s="48">
        <f>COUNTIF(Questions!D:D,D349)</f>
        <v>2</v>
      </c>
      <c r="F349" s="48" t="s">
        <v>1056</v>
      </c>
      <c r="G349" s="48" t="s">
        <v>27</v>
      </c>
      <c r="H349" s="48" t="s">
        <v>1054</v>
      </c>
      <c r="I349" s="48">
        <f>COUNTIF(Questions!H:H,H349)</f>
        <v>2</v>
      </c>
      <c r="J349" s="47"/>
    </row>
    <row r="350" spans="1:10" ht="22" customHeight="1" x14ac:dyDescent="0.35">
      <c r="A350" s="37" t="s">
        <v>1057</v>
      </c>
      <c r="B350" s="37"/>
      <c r="C350" s="38" t="s">
        <v>57</v>
      </c>
      <c r="D350" s="39" t="s">
        <v>1058</v>
      </c>
      <c r="E350" s="39">
        <f>COUNTIF(Questions!D:D,D350)</f>
        <v>2</v>
      </c>
      <c r="F350" s="39" t="s">
        <v>1059</v>
      </c>
      <c r="G350" s="39" t="s">
        <v>2121</v>
      </c>
      <c r="H350" s="39" t="s">
        <v>1060</v>
      </c>
      <c r="I350" s="39">
        <f>COUNTIF(Questions!H:H,H350)</f>
        <v>2</v>
      </c>
      <c r="J350" s="38"/>
    </row>
    <row r="351" spans="1:10" ht="22" customHeight="1" x14ac:dyDescent="0.35">
      <c r="A351" s="37" t="s">
        <v>1061</v>
      </c>
      <c r="B351" s="37"/>
      <c r="C351" s="38" t="s">
        <v>57</v>
      </c>
      <c r="D351" s="39" t="s">
        <v>1058</v>
      </c>
      <c r="E351" s="39">
        <f>COUNTIF(Questions!D:D,D351)</f>
        <v>2</v>
      </c>
      <c r="F351" s="39" t="s">
        <v>1062</v>
      </c>
      <c r="G351" s="39" t="s">
        <v>2121</v>
      </c>
      <c r="H351" s="39" t="s">
        <v>1060</v>
      </c>
      <c r="I351" s="39">
        <f>COUNTIF(Questions!H:H,H351)</f>
        <v>2</v>
      </c>
      <c r="J351" s="38"/>
    </row>
    <row r="352" spans="1:10" ht="22" customHeight="1" x14ac:dyDescent="0.35">
      <c r="A352" s="6" t="s">
        <v>1063</v>
      </c>
      <c r="B352" s="6"/>
      <c r="C352" s="7" t="s">
        <v>50</v>
      </c>
      <c r="D352" s="8" t="s">
        <v>1064</v>
      </c>
      <c r="E352" s="8">
        <f>COUNTIF(Questions!D:D,D352)</f>
        <v>2</v>
      </c>
      <c r="F352" s="8" t="s">
        <v>1065</v>
      </c>
      <c r="G352" s="8" t="s">
        <v>50</v>
      </c>
      <c r="H352" s="8" t="s">
        <v>1066</v>
      </c>
      <c r="I352" s="8">
        <f>COUNTIF(Questions!H:H,H352)</f>
        <v>2</v>
      </c>
      <c r="J352" s="7"/>
    </row>
    <row r="353" spans="1:10" ht="22" customHeight="1" x14ac:dyDescent="0.35">
      <c r="A353" s="6" t="s">
        <v>1067</v>
      </c>
      <c r="B353" s="6"/>
      <c r="C353" s="7" t="s">
        <v>50</v>
      </c>
      <c r="D353" s="8" t="s">
        <v>1064</v>
      </c>
      <c r="E353" s="8">
        <f>COUNTIF(Questions!D:D,D353)</f>
        <v>2</v>
      </c>
      <c r="F353" s="8" t="s">
        <v>1068</v>
      </c>
      <c r="G353" s="8" t="s">
        <v>50</v>
      </c>
      <c r="H353" s="8" t="s">
        <v>1066</v>
      </c>
      <c r="I353" s="8">
        <f>COUNTIF(Questions!H:H,H353)</f>
        <v>2</v>
      </c>
      <c r="J353" s="7"/>
    </row>
    <row r="354" spans="1:10" ht="22" customHeight="1" x14ac:dyDescent="0.35">
      <c r="A354" s="46" t="s">
        <v>1069</v>
      </c>
      <c r="B354" s="46"/>
      <c r="C354" s="47" t="s">
        <v>24</v>
      </c>
      <c r="D354" s="48" t="s">
        <v>1070</v>
      </c>
      <c r="E354" s="48">
        <f>COUNTIF(Questions!D:D,D354)</f>
        <v>2</v>
      </c>
      <c r="F354" s="48" t="s">
        <v>1071</v>
      </c>
      <c r="G354" s="48" t="s">
        <v>27</v>
      </c>
      <c r="H354" s="48" t="s">
        <v>1072</v>
      </c>
      <c r="I354" s="48">
        <f>COUNTIF(Questions!H:H,H354)</f>
        <v>2</v>
      </c>
      <c r="J354" s="47"/>
    </row>
    <row r="355" spans="1:10" ht="22" customHeight="1" x14ac:dyDescent="0.35">
      <c r="A355" s="46" t="s">
        <v>1073</v>
      </c>
      <c r="B355" s="46"/>
      <c r="C355" s="47" t="s">
        <v>24</v>
      </c>
      <c r="D355" s="48" t="s">
        <v>1070</v>
      </c>
      <c r="E355" s="48">
        <f>COUNTIF(Questions!D:D,D355)</f>
        <v>2</v>
      </c>
      <c r="F355" s="48" t="s">
        <v>1074</v>
      </c>
      <c r="G355" s="48" t="s">
        <v>27</v>
      </c>
      <c r="H355" s="48" t="s">
        <v>1072</v>
      </c>
      <c r="I355" s="48">
        <f>COUNTIF(Questions!H:H,H355)</f>
        <v>2</v>
      </c>
      <c r="J355" s="47"/>
    </row>
    <row r="356" spans="1:10" ht="22" customHeight="1" x14ac:dyDescent="0.35">
      <c r="A356" s="46" t="s">
        <v>1075</v>
      </c>
      <c r="B356" s="46"/>
      <c r="C356" s="47" t="s">
        <v>24</v>
      </c>
      <c r="D356" s="48" t="s">
        <v>1076</v>
      </c>
      <c r="E356" s="48">
        <f>COUNTIF(Questions!D:D,D356)</f>
        <v>2</v>
      </c>
      <c r="F356" s="48" t="s">
        <v>1077</v>
      </c>
      <c r="G356" s="48" t="s">
        <v>27</v>
      </c>
      <c r="H356" s="48" t="s">
        <v>1078</v>
      </c>
      <c r="I356" s="48">
        <f>COUNTIF(Questions!H:H,H356)</f>
        <v>2</v>
      </c>
      <c r="J356" s="47"/>
    </row>
    <row r="357" spans="1:10" ht="22" customHeight="1" x14ac:dyDescent="0.35">
      <c r="A357" s="46" t="s">
        <v>1079</v>
      </c>
      <c r="B357" s="46"/>
      <c r="C357" s="47" t="s">
        <v>24</v>
      </c>
      <c r="D357" s="48" t="s">
        <v>1076</v>
      </c>
      <c r="E357" s="48">
        <f>COUNTIF(Questions!D:D,D357)</f>
        <v>2</v>
      </c>
      <c r="F357" s="48" t="s">
        <v>1080</v>
      </c>
      <c r="G357" s="48" t="s">
        <v>27</v>
      </c>
      <c r="H357" s="48" t="s">
        <v>1078</v>
      </c>
      <c r="I357" s="48">
        <f>COUNTIF(Questions!H:H,H357)</f>
        <v>2</v>
      </c>
      <c r="J357" s="47"/>
    </row>
    <row r="358" spans="1:10" ht="22" customHeight="1" x14ac:dyDescent="0.35">
      <c r="A358" s="43" t="s">
        <v>1081</v>
      </c>
      <c r="B358" s="43"/>
      <c r="C358" s="44" t="s">
        <v>8</v>
      </c>
      <c r="D358" s="45" t="s">
        <v>1082</v>
      </c>
      <c r="E358" s="45">
        <f>COUNTIF(Questions!D:D,D358)</f>
        <v>2</v>
      </c>
      <c r="F358" s="45" t="s">
        <v>1083</v>
      </c>
      <c r="G358" s="45" t="s">
        <v>11</v>
      </c>
      <c r="H358" s="45" t="s">
        <v>1084</v>
      </c>
      <c r="I358" s="45">
        <f>COUNTIF(Questions!H:H,H358)</f>
        <v>2</v>
      </c>
      <c r="J358" s="44"/>
    </row>
    <row r="359" spans="1:10" ht="22" customHeight="1" x14ac:dyDescent="0.35">
      <c r="A359" s="43" t="s">
        <v>1085</v>
      </c>
      <c r="B359" s="43"/>
      <c r="C359" s="44" t="s">
        <v>8</v>
      </c>
      <c r="D359" s="45" t="s">
        <v>1082</v>
      </c>
      <c r="E359" s="45">
        <f>COUNTIF(Questions!D:D,D359)</f>
        <v>2</v>
      </c>
      <c r="F359" s="45" t="s">
        <v>1086</v>
      </c>
      <c r="G359" s="45" t="s">
        <v>11</v>
      </c>
      <c r="H359" s="45" t="s">
        <v>1084</v>
      </c>
      <c r="I359" s="45">
        <f>COUNTIF(Questions!H:H,H359)</f>
        <v>2</v>
      </c>
      <c r="J359" s="44"/>
    </row>
    <row r="360" spans="1:10" ht="22" customHeight="1" x14ac:dyDescent="0.35">
      <c r="A360" s="43" t="s">
        <v>1087</v>
      </c>
      <c r="B360" s="43"/>
      <c r="C360" s="44" t="s">
        <v>8</v>
      </c>
      <c r="D360" s="45" t="s">
        <v>1088</v>
      </c>
      <c r="E360" s="45">
        <f>COUNTIF(Questions!D:D,D360)</f>
        <v>2</v>
      </c>
      <c r="F360" s="45" t="s">
        <v>1089</v>
      </c>
      <c r="G360" s="45" t="s">
        <v>11</v>
      </c>
      <c r="H360" s="45" t="s">
        <v>1090</v>
      </c>
      <c r="I360" s="45">
        <f>COUNTIF(Questions!H:H,H360)</f>
        <v>2</v>
      </c>
      <c r="J360" s="44"/>
    </row>
    <row r="361" spans="1:10" ht="22" customHeight="1" x14ac:dyDescent="0.35">
      <c r="A361" s="43" t="s">
        <v>1091</v>
      </c>
      <c r="B361" s="43"/>
      <c r="C361" s="44" t="s">
        <v>8</v>
      </c>
      <c r="D361" s="45" t="s">
        <v>1088</v>
      </c>
      <c r="E361" s="45">
        <f>COUNTIF(Questions!D:D,D361)</f>
        <v>2</v>
      </c>
      <c r="F361" s="45" t="s">
        <v>1092</v>
      </c>
      <c r="G361" s="45" t="s">
        <v>11</v>
      </c>
      <c r="H361" s="45" t="s">
        <v>1090</v>
      </c>
      <c r="I361" s="45">
        <f>COUNTIF(Questions!H:H,H361)</f>
        <v>2</v>
      </c>
      <c r="J361" s="44"/>
    </row>
    <row r="362" spans="1:10" ht="22" customHeight="1" x14ac:dyDescent="0.35">
      <c r="A362" s="34" t="s">
        <v>1093</v>
      </c>
      <c r="B362" s="34"/>
      <c r="C362" s="35" t="s">
        <v>64</v>
      </c>
      <c r="D362" s="36" t="s">
        <v>1094</v>
      </c>
      <c r="E362" s="36">
        <f>COUNTIF(Questions!D:D,D362)</f>
        <v>2</v>
      </c>
      <c r="F362" s="36" t="s">
        <v>1095</v>
      </c>
      <c r="G362" s="36" t="s">
        <v>67</v>
      </c>
      <c r="H362" s="36" t="s">
        <v>1096</v>
      </c>
      <c r="I362" s="36">
        <f>COUNTIF(Questions!H:H,H362)</f>
        <v>2</v>
      </c>
      <c r="J362" s="35"/>
    </row>
    <row r="363" spans="1:10" ht="22" customHeight="1" x14ac:dyDescent="0.35">
      <c r="A363" s="34" t="s">
        <v>1097</v>
      </c>
      <c r="B363" s="34"/>
      <c r="C363" s="35" t="s">
        <v>64</v>
      </c>
      <c r="D363" s="36" t="s">
        <v>1094</v>
      </c>
      <c r="E363" s="36">
        <f>COUNTIF(Questions!D:D,D363)</f>
        <v>2</v>
      </c>
      <c r="F363" s="36" t="s">
        <v>1098</v>
      </c>
      <c r="G363" s="36" t="s">
        <v>67</v>
      </c>
      <c r="H363" s="36" t="s">
        <v>1096</v>
      </c>
      <c r="I363" s="36">
        <f>COUNTIF(Questions!H:H,H363)</f>
        <v>2</v>
      </c>
      <c r="J363" s="35"/>
    </row>
    <row r="364" spans="1:10" ht="22" customHeight="1" x14ac:dyDescent="0.35">
      <c r="A364" s="25" t="s">
        <v>1099</v>
      </c>
      <c r="B364" s="25"/>
      <c r="C364" s="26" t="s">
        <v>216</v>
      </c>
      <c r="D364" s="27" t="s">
        <v>1100</v>
      </c>
      <c r="E364" s="27">
        <f>COUNTIF(Questions!D:D,D364)</f>
        <v>2</v>
      </c>
      <c r="F364" s="27" t="s">
        <v>1101</v>
      </c>
      <c r="G364" s="27" t="s">
        <v>2124</v>
      </c>
      <c r="H364" s="27" t="s">
        <v>1102</v>
      </c>
      <c r="I364" s="27">
        <f>COUNTIF(Questions!H:H,H364)</f>
        <v>2</v>
      </c>
      <c r="J364" s="26"/>
    </row>
    <row r="365" spans="1:10" ht="22" customHeight="1" x14ac:dyDescent="0.35">
      <c r="A365" s="25" t="s">
        <v>1103</v>
      </c>
      <c r="B365" s="25"/>
      <c r="C365" s="26" t="s">
        <v>216</v>
      </c>
      <c r="D365" s="27" t="s">
        <v>1100</v>
      </c>
      <c r="E365" s="27">
        <f>COUNTIF(Questions!D:D,D365)</f>
        <v>2</v>
      </c>
      <c r="F365" s="27" t="s">
        <v>1104</v>
      </c>
      <c r="G365" s="27" t="s">
        <v>2124</v>
      </c>
      <c r="H365" s="27" t="s">
        <v>1102</v>
      </c>
      <c r="I365" s="27">
        <f>COUNTIF(Questions!H:H,H365)</f>
        <v>2</v>
      </c>
      <c r="J365" s="26"/>
    </row>
    <row r="366" spans="1:10" ht="22" customHeight="1" x14ac:dyDescent="0.35">
      <c r="A366" s="28" t="s">
        <v>1105</v>
      </c>
      <c r="B366" s="28"/>
      <c r="C366" s="29" t="s">
        <v>176</v>
      </c>
      <c r="D366" s="30" t="s">
        <v>1106</v>
      </c>
      <c r="E366" s="30">
        <f>COUNTIF(Questions!D:D,D366)</f>
        <v>2</v>
      </c>
      <c r="F366" s="30" t="s">
        <v>1107</v>
      </c>
      <c r="G366" s="30" t="s">
        <v>179</v>
      </c>
      <c r="H366" s="30" t="s">
        <v>1108</v>
      </c>
      <c r="I366" s="30">
        <f>COUNTIF(Questions!H:H,H366)</f>
        <v>2</v>
      </c>
      <c r="J366" s="29"/>
    </row>
    <row r="367" spans="1:10" ht="22" customHeight="1" x14ac:dyDescent="0.35">
      <c r="A367" s="28" t="s">
        <v>1109</v>
      </c>
      <c r="B367" s="28"/>
      <c r="C367" s="29" t="s">
        <v>176</v>
      </c>
      <c r="D367" s="30" t="s">
        <v>1106</v>
      </c>
      <c r="E367" s="30">
        <f>COUNTIF(Questions!D:D,D367)</f>
        <v>2</v>
      </c>
      <c r="F367" s="30" t="s">
        <v>1110</v>
      </c>
      <c r="G367" s="30" t="s">
        <v>179</v>
      </c>
      <c r="H367" s="30" t="s">
        <v>1108</v>
      </c>
      <c r="I367" s="30">
        <f>COUNTIF(Questions!H:H,H367)</f>
        <v>2</v>
      </c>
      <c r="J367" s="29" t="s">
        <v>843</v>
      </c>
    </row>
    <row r="368" spans="1:10" ht="22" customHeight="1" x14ac:dyDescent="0.35">
      <c r="A368" s="28" t="s">
        <v>1111</v>
      </c>
      <c r="B368" s="28"/>
      <c r="C368" s="29" t="s">
        <v>176</v>
      </c>
      <c r="D368" s="30" t="s">
        <v>1112</v>
      </c>
      <c r="E368" s="30">
        <f>COUNTIF(Questions!D:D,D368)</f>
        <v>2</v>
      </c>
      <c r="F368" s="30" t="s">
        <v>1113</v>
      </c>
      <c r="G368" s="30" t="s">
        <v>179</v>
      </c>
      <c r="H368" s="30" t="s">
        <v>1114</v>
      </c>
      <c r="I368" s="30">
        <f>COUNTIF(Questions!H:H,H368)</f>
        <v>2</v>
      </c>
      <c r="J368" s="29"/>
    </row>
    <row r="369" spans="1:10" ht="22" customHeight="1" x14ac:dyDescent="0.35">
      <c r="A369" s="28" t="s">
        <v>1115</v>
      </c>
      <c r="B369" s="28"/>
      <c r="C369" s="29" t="s">
        <v>176</v>
      </c>
      <c r="D369" s="30" t="s">
        <v>1112</v>
      </c>
      <c r="E369" s="30">
        <f>COUNTIF(Questions!D:D,D369)</f>
        <v>2</v>
      </c>
      <c r="F369" s="30" t="s">
        <v>1116</v>
      </c>
      <c r="G369" s="30" t="s">
        <v>179</v>
      </c>
      <c r="H369" s="30" t="s">
        <v>1114</v>
      </c>
      <c r="I369" s="30">
        <f>COUNTIF(Questions!H:H,H369)</f>
        <v>2</v>
      </c>
      <c r="J369" s="29"/>
    </row>
    <row r="370" spans="1:10" ht="22" customHeight="1" x14ac:dyDescent="0.35">
      <c r="A370" s="49" t="s">
        <v>1117</v>
      </c>
      <c r="B370" s="49"/>
      <c r="C370" s="50" t="s">
        <v>72</v>
      </c>
      <c r="D370" s="51" t="s">
        <v>1118</v>
      </c>
      <c r="E370" s="51">
        <f>COUNTIF(Questions!D:D,D370)</f>
        <v>2</v>
      </c>
      <c r="F370" s="51" t="s">
        <v>1119</v>
      </c>
      <c r="G370" s="51" t="s">
        <v>2120</v>
      </c>
      <c r="H370" s="51" t="s">
        <v>1118</v>
      </c>
      <c r="I370" s="51">
        <f>COUNTIF(Questions!H:H,H370)</f>
        <v>2</v>
      </c>
      <c r="J370" s="50"/>
    </row>
    <row r="371" spans="1:10" ht="22" customHeight="1" x14ac:dyDescent="0.35">
      <c r="A371" s="49" t="s">
        <v>1120</v>
      </c>
      <c r="B371" s="49"/>
      <c r="C371" s="50" t="s">
        <v>72</v>
      </c>
      <c r="D371" s="51" t="s">
        <v>1118</v>
      </c>
      <c r="E371" s="51">
        <f>COUNTIF(Questions!D:D,D371)</f>
        <v>2</v>
      </c>
      <c r="F371" s="51" t="s">
        <v>1121</v>
      </c>
      <c r="G371" s="51" t="s">
        <v>2120</v>
      </c>
      <c r="H371" s="51" t="s">
        <v>1118</v>
      </c>
      <c r="I371" s="51">
        <f>COUNTIF(Questions!H:H,H371)</f>
        <v>2</v>
      </c>
      <c r="J371" s="50"/>
    </row>
    <row r="372" spans="1:10" ht="22" customHeight="1" x14ac:dyDescent="0.35">
      <c r="A372" s="49" t="s">
        <v>1122</v>
      </c>
      <c r="B372" s="49"/>
      <c r="C372" s="50" t="s">
        <v>72</v>
      </c>
      <c r="D372" s="51" t="s">
        <v>1123</v>
      </c>
      <c r="E372" s="51">
        <f>COUNTIF(Questions!D:D,D372)</f>
        <v>2</v>
      </c>
      <c r="F372" s="51" t="s">
        <v>1124</v>
      </c>
      <c r="G372" s="51" t="s">
        <v>2120</v>
      </c>
      <c r="H372" s="51" t="s">
        <v>1125</v>
      </c>
      <c r="I372" s="51">
        <f>COUNTIF(Questions!H:H,H372)</f>
        <v>2</v>
      </c>
      <c r="J372" s="50"/>
    </row>
    <row r="373" spans="1:10" ht="22" customHeight="1" x14ac:dyDescent="0.35">
      <c r="A373" s="49" t="s">
        <v>1126</v>
      </c>
      <c r="B373" s="49"/>
      <c r="C373" s="50" t="s">
        <v>72</v>
      </c>
      <c r="D373" s="51" t="s">
        <v>1123</v>
      </c>
      <c r="E373" s="51">
        <f>COUNTIF(Questions!D:D,D373)</f>
        <v>2</v>
      </c>
      <c r="F373" s="51" t="s">
        <v>1127</v>
      </c>
      <c r="G373" s="51" t="s">
        <v>2120</v>
      </c>
      <c r="H373" s="51" t="s">
        <v>1125</v>
      </c>
      <c r="I373" s="51">
        <f>COUNTIF(Questions!H:H,H373)</f>
        <v>2</v>
      </c>
      <c r="J373" s="50"/>
    </row>
    <row r="374" spans="1:10" ht="22" customHeight="1" x14ac:dyDescent="0.35">
      <c r="A374" s="25" t="s">
        <v>1128</v>
      </c>
      <c r="B374" s="25"/>
      <c r="C374" s="26" t="s">
        <v>216</v>
      </c>
      <c r="D374" s="27" t="s">
        <v>1129</v>
      </c>
      <c r="E374" s="27">
        <f>COUNTIF(Questions!D:D,D374)</f>
        <v>2</v>
      </c>
      <c r="F374" s="27" t="s">
        <v>1130</v>
      </c>
      <c r="G374" s="27" t="s">
        <v>2124</v>
      </c>
      <c r="H374" s="27" t="s">
        <v>1024</v>
      </c>
      <c r="I374" s="27">
        <f>COUNTIF(Questions!H:H,H374)</f>
        <v>2</v>
      </c>
      <c r="J374" s="26"/>
    </row>
    <row r="375" spans="1:10" ht="22" customHeight="1" x14ac:dyDescent="0.35">
      <c r="A375" s="25" t="s">
        <v>1131</v>
      </c>
      <c r="B375" s="25"/>
      <c r="C375" s="26" t="s">
        <v>216</v>
      </c>
      <c r="D375" s="27" t="s">
        <v>1129</v>
      </c>
      <c r="E375" s="27">
        <f>COUNTIF(Questions!D:D,D375)</f>
        <v>2</v>
      </c>
      <c r="F375" s="27" t="s">
        <v>1132</v>
      </c>
      <c r="G375" s="27" t="s">
        <v>2124</v>
      </c>
      <c r="H375" s="27" t="s">
        <v>1024</v>
      </c>
      <c r="I375" s="27">
        <f>COUNTIF(Questions!H:H,H375)</f>
        <v>2</v>
      </c>
      <c r="J375" s="26"/>
    </row>
    <row r="376" spans="1:10" ht="22" customHeight="1" x14ac:dyDescent="0.35">
      <c r="A376" s="46" t="s">
        <v>1133</v>
      </c>
      <c r="B376" s="46"/>
      <c r="C376" s="47" t="s">
        <v>24</v>
      </c>
      <c r="D376" s="48" t="s">
        <v>1134</v>
      </c>
      <c r="E376" s="48">
        <f>COUNTIF(Questions!D:D,D376)</f>
        <v>2</v>
      </c>
      <c r="F376" s="48" t="s">
        <v>1135</v>
      </c>
      <c r="G376" s="48" t="s">
        <v>27</v>
      </c>
      <c r="H376" s="48" t="s">
        <v>1136</v>
      </c>
      <c r="I376" s="48">
        <f>COUNTIF(Questions!H:H,H376)</f>
        <v>2</v>
      </c>
      <c r="J376" s="47"/>
    </row>
    <row r="377" spans="1:10" ht="22" customHeight="1" x14ac:dyDescent="0.35">
      <c r="A377" s="46" t="s">
        <v>1137</v>
      </c>
      <c r="B377" s="46"/>
      <c r="C377" s="47" t="s">
        <v>24</v>
      </c>
      <c r="D377" s="48" t="s">
        <v>1134</v>
      </c>
      <c r="E377" s="48">
        <f>COUNTIF(Questions!D:D,D377)</f>
        <v>2</v>
      </c>
      <c r="F377" s="48" t="s">
        <v>1138</v>
      </c>
      <c r="G377" s="48" t="s">
        <v>27</v>
      </c>
      <c r="H377" s="48" t="s">
        <v>1136</v>
      </c>
      <c r="I377" s="48">
        <f>COUNTIF(Questions!H:H,H377)</f>
        <v>2</v>
      </c>
      <c r="J377" s="47"/>
    </row>
    <row r="378" spans="1:10" ht="22" customHeight="1" x14ac:dyDescent="0.35">
      <c r="A378" s="37" t="s">
        <v>1139</v>
      </c>
      <c r="B378" s="37"/>
      <c r="C378" s="38" t="s">
        <v>57</v>
      </c>
      <c r="D378" s="39" t="s">
        <v>1140</v>
      </c>
      <c r="E378" s="39">
        <f>COUNTIF(Questions!D:D,D378)</f>
        <v>2</v>
      </c>
      <c r="F378" s="39" t="s">
        <v>1141</v>
      </c>
      <c r="G378" s="39" t="s">
        <v>2121</v>
      </c>
      <c r="H378" s="39" t="s">
        <v>1142</v>
      </c>
      <c r="I378" s="39">
        <f>COUNTIF(Questions!H:H,H378)</f>
        <v>2</v>
      </c>
      <c r="J378" s="38"/>
    </row>
    <row r="379" spans="1:10" ht="22" customHeight="1" x14ac:dyDescent="0.35">
      <c r="A379" s="37" t="s">
        <v>1143</v>
      </c>
      <c r="B379" s="37"/>
      <c r="C379" s="38" t="s">
        <v>57</v>
      </c>
      <c r="D379" s="39" t="s">
        <v>1140</v>
      </c>
      <c r="E379" s="39">
        <f>COUNTIF(Questions!D:D,D379)</f>
        <v>2</v>
      </c>
      <c r="F379" s="39" t="s">
        <v>1144</v>
      </c>
      <c r="G379" s="39" t="s">
        <v>2121</v>
      </c>
      <c r="H379" s="39" t="s">
        <v>1142</v>
      </c>
      <c r="I379" s="39">
        <f>COUNTIF(Questions!H:H,H379)</f>
        <v>2</v>
      </c>
      <c r="J379" s="38"/>
    </row>
    <row r="380" spans="1:10" ht="22" customHeight="1" x14ac:dyDescent="0.35">
      <c r="A380" s="43" t="s">
        <v>1145</v>
      </c>
      <c r="B380" s="43"/>
      <c r="C380" s="44" t="s">
        <v>24</v>
      </c>
      <c r="D380" s="45" t="s">
        <v>1146</v>
      </c>
      <c r="E380" s="45">
        <f>COUNTIF(Questions!D:D,D380)</f>
        <v>2</v>
      </c>
      <c r="F380" s="45" t="s">
        <v>1147</v>
      </c>
      <c r="G380" s="45" t="s">
        <v>27</v>
      </c>
      <c r="H380" s="45" t="s">
        <v>1148</v>
      </c>
      <c r="I380" s="45">
        <f>COUNTIF(Questions!H:H,H380)</f>
        <v>2</v>
      </c>
      <c r="J380" s="44"/>
    </row>
    <row r="381" spans="1:10" ht="22" customHeight="1" x14ac:dyDescent="0.35">
      <c r="A381" s="43" t="s">
        <v>1149</v>
      </c>
      <c r="B381" s="43"/>
      <c r="C381" s="44" t="s">
        <v>24</v>
      </c>
      <c r="D381" s="45" t="s">
        <v>1146</v>
      </c>
      <c r="E381" s="45">
        <f>COUNTIF(Questions!D:D,D381)</f>
        <v>2</v>
      </c>
      <c r="F381" s="45" t="s">
        <v>1150</v>
      </c>
      <c r="G381" s="45" t="s">
        <v>27</v>
      </c>
      <c r="H381" s="45" t="s">
        <v>1148</v>
      </c>
      <c r="I381" s="45">
        <f>COUNTIF(Questions!H:H,H381)</f>
        <v>2</v>
      </c>
      <c r="J381" s="44"/>
    </row>
    <row r="382" spans="1:10" ht="22" customHeight="1" x14ac:dyDescent="0.35">
      <c r="A382" s="40" t="s">
        <v>1151</v>
      </c>
      <c r="B382" s="40"/>
      <c r="C382" s="41" t="s">
        <v>57</v>
      </c>
      <c r="D382" s="42" t="s">
        <v>1152</v>
      </c>
      <c r="E382" s="42">
        <f>COUNTIF(Questions!D:D,D382)</f>
        <v>2</v>
      </c>
      <c r="F382" s="42" t="s">
        <v>1153</v>
      </c>
      <c r="G382" s="42" t="s">
        <v>2121</v>
      </c>
      <c r="H382" s="42" t="s">
        <v>1154</v>
      </c>
      <c r="I382" s="42">
        <f>COUNTIF(Questions!H:H,H382)</f>
        <v>2</v>
      </c>
      <c r="J382" s="41"/>
    </row>
    <row r="383" spans="1:10" ht="22" customHeight="1" x14ac:dyDescent="0.35">
      <c r="A383" s="6" t="s">
        <v>1155</v>
      </c>
      <c r="B383" s="6"/>
      <c r="C383" s="7" t="s">
        <v>50</v>
      </c>
      <c r="D383" s="8" t="s">
        <v>1156</v>
      </c>
      <c r="E383" s="8">
        <f>COUNTIF(Questions!D:D,D383)</f>
        <v>2</v>
      </c>
      <c r="F383" s="8" t="s">
        <v>1157</v>
      </c>
      <c r="G383" s="8" t="s">
        <v>50</v>
      </c>
      <c r="H383" s="8" t="s">
        <v>1158</v>
      </c>
      <c r="I383" s="8">
        <f>COUNTIF(Questions!H:H,H383)</f>
        <v>2</v>
      </c>
      <c r="J383" s="7"/>
    </row>
    <row r="384" spans="1:10" ht="22" customHeight="1" x14ac:dyDescent="0.35">
      <c r="A384" s="6" t="s">
        <v>1159</v>
      </c>
      <c r="B384" s="6"/>
      <c r="C384" s="7" t="s">
        <v>50</v>
      </c>
      <c r="D384" s="8" t="s">
        <v>1156</v>
      </c>
      <c r="E384" s="8">
        <f>COUNTIF(Questions!D:D,D384)</f>
        <v>2</v>
      </c>
      <c r="F384" s="8" t="s">
        <v>1160</v>
      </c>
      <c r="G384" s="8" t="s">
        <v>50</v>
      </c>
      <c r="H384" s="8" t="s">
        <v>1158</v>
      </c>
      <c r="I384" s="8">
        <f>COUNTIF(Questions!H:H,H384)</f>
        <v>2</v>
      </c>
      <c r="J384" s="7"/>
    </row>
    <row r="385" spans="1:10" ht="22" customHeight="1" x14ac:dyDescent="0.35">
      <c r="A385" s="25" t="s">
        <v>1161</v>
      </c>
      <c r="B385" s="25"/>
      <c r="C385" s="26" t="s">
        <v>57</v>
      </c>
      <c r="D385" s="27" t="s">
        <v>1152</v>
      </c>
      <c r="E385" s="27">
        <f>COUNTIF(Questions!D:D,D385)</f>
        <v>2</v>
      </c>
      <c r="F385" s="27" t="s">
        <v>1162</v>
      </c>
      <c r="G385" s="27" t="s">
        <v>2121</v>
      </c>
      <c r="H385" s="27" t="s">
        <v>1154</v>
      </c>
      <c r="I385" s="27">
        <f>COUNTIF(Questions!H:H,H385)</f>
        <v>2</v>
      </c>
      <c r="J385" s="26"/>
    </row>
    <row r="386" spans="1:10" ht="22" customHeight="1" x14ac:dyDescent="0.35">
      <c r="A386" s="6" t="s">
        <v>1163</v>
      </c>
      <c r="B386" s="6"/>
      <c r="C386" s="7" t="s">
        <v>50</v>
      </c>
      <c r="D386" s="8" t="s">
        <v>1164</v>
      </c>
      <c r="E386" s="8">
        <f>COUNTIF(Questions!D:D,D386)</f>
        <v>2</v>
      </c>
      <c r="F386" s="8" t="s">
        <v>1165</v>
      </c>
      <c r="G386" s="8" t="s">
        <v>50</v>
      </c>
      <c r="H386" s="8" t="s">
        <v>1166</v>
      </c>
      <c r="I386" s="8">
        <f>COUNTIF(Questions!H:H,H386)</f>
        <v>2</v>
      </c>
      <c r="J386" s="7"/>
    </row>
    <row r="387" spans="1:10" ht="22" customHeight="1" x14ac:dyDescent="0.35">
      <c r="A387" s="6" t="s">
        <v>1167</v>
      </c>
      <c r="B387" s="6"/>
      <c r="C387" s="7" t="s">
        <v>50</v>
      </c>
      <c r="D387" s="8" t="s">
        <v>1164</v>
      </c>
      <c r="E387" s="8">
        <f>COUNTIF(Questions!D:D,D387)</f>
        <v>2</v>
      </c>
      <c r="F387" s="8" t="s">
        <v>1168</v>
      </c>
      <c r="G387" s="8" t="s">
        <v>50</v>
      </c>
      <c r="H387" s="8" t="s">
        <v>1166</v>
      </c>
      <c r="I387" s="8">
        <f>COUNTIF(Questions!H:H,H387)</f>
        <v>2</v>
      </c>
      <c r="J387" s="7"/>
    </row>
    <row r="388" spans="1:10" ht="22" customHeight="1" x14ac:dyDescent="0.35">
      <c r="A388" s="43" t="s">
        <v>1169</v>
      </c>
      <c r="B388" s="43"/>
      <c r="C388" s="44" t="s">
        <v>8</v>
      </c>
      <c r="D388" s="45" t="s">
        <v>1170</v>
      </c>
      <c r="E388" s="45">
        <f>COUNTIF(Questions!D:D,D388)</f>
        <v>2</v>
      </c>
      <c r="F388" s="45" t="s">
        <v>1171</v>
      </c>
      <c r="G388" s="45" t="s">
        <v>11</v>
      </c>
      <c r="H388" s="45" t="s">
        <v>1172</v>
      </c>
      <c r="I388" s="45">
        <f>COUNTIF(Questions!H:H,H388)</f>
        <v>2</v>
      </c>
      <c r="J388" s="44"/>
    </row>
    <row r="389" spans="1:10" ht="22" customHeight="1" x14ac:dyDescent="0.35">
      <c r="A389" s="43" t="s">
        <v>1173</v>
      </c>
      <c r="B389" s="43"/>
      <c r="C389" s="44" t="s">
        <v>8</v>
      </c>
      <c r="D389" s="45" t="s">
        <v>1170</v>
      </c>
      <c r="E389" s="45">
        <f>COUNTIF(Questions!D:D,D389)</f>
        <v>2</v>
      </c>
      <c r="F389" s="45" t="s">
        <v>1174</v>
      </c>
      <c r="G389" s="45" t="s">
        <v>11</v>
      </c>
      <c r="H389" s="45" t="s">
        <v>1172</v>
      </c>
      <c r="I389" s="45">
        <f>COUNTIF(Questions!H:H,H389)</f>
        <v>2</v>
      </c>
      <c r="J389" s="44"/>
    </row>
    <row r="390" spans="1:10" ht="22" customHeight="1" x14ac:dyDescent="0.35">
      <c r="A390" s="43" t="s">
        <v>1175</v>
      </c>
      <c r="B390" s="43"/>
      <c r="C390" s="44" t="s">
        <v>8</v>
      </c>
      <c r="D390" s="45" t="s">
        <v>1176</v>
      </c>
      <c r="E390" s="45">
        <f>COUNTIF(Questions!D:D,D390)</f>
        <v>2</v>
      </c>
      <c r="F390" s="45" t="s">
        <v>1177</v>
      </c>
      <c r="G390" s="45" t="s">
        <v>11</v>
      </c>
      <c r="H390" s="45" t="s">
        <v>1178</v>
      </c>
      <c r="I390" s="45">
        <f>COUNTIF(Questions!H:H,H390)</f>
        <v>2</v>
      </c>
      <c r="J390" s="44"/>
    </row>
    <row r="391" spans="1:10" ht="22" customHeight="1" x14ac:dyDescent="0.35">
      <c r="A391" s="43" t="s">
        <v>1179</v>
      </c>
      <c r="B391" s="43"/>
      <c r="C391" s="44" t="s">
        <v>8</v>
      </c>
      <c r="D391" s="45" t="s">
        <v>1176</v>
      </c>
      <c r="E391" s="45">
        <f>COUNTIF(Questions!D:D,D391)</f>
        <v>2</v>
      </c>
      <c r="F391" s="45" t="s">
        <v>1180</v>
      </c>
      <c r="G391" s="45" t="s">
        <v>11</v>
      </c>
      <c r="H391" s="45" t="s">
        <v>1178</v>
      </c>
      <c r="I391" s="45">
        <f>COUNTIF(Questions!H:H,H391)</f>
        <v>2</v>
      </c>
      <c r="J391" s="44"/>
    </row>
    <row r="392" spans="1:10" ht="22" customHeight="1" x14ac:dyDescent="0.35">
      <c r="A392" s="43" t="s">
        <v>1181</v>
      </c>
      <c r="B392" s="43"/>
      <c r="C392" s="44" t="s">
        <v>8</v>
      </c>
      <c r="D392" s="45" t="s">
        <v>1182</v>
      </c>
      <c r="E392" s="45">
        <f>COUNTIF(Questions!D:D,D392)</f>
        <v>2</v>
      </c>
      <c r="F392" s="45" t="s">
        <v>1183</v>
      </c>
      <c r="G392" s="45" t="s">
        <v>11</v>
      </c>
      <c r="H392" s="45" t="s">
        <v>1184</v>
      </c>
      <c r="I392" s="45">
        <f>COUNTIF(Questions!H:H,H392)</f>
        <v>2</v>
      </c>
      <c r="J392" s="44"/>
    </row>
    <row r="393" spans="1:10" ht="22" customHeight="1" x14ac:dyDescent="0.35">
      <c r="A393" s="43" t="s">
        <v>1185</v>
      </c>
      <c r="B393" s="43"/>
      <c r="C393" s="44" t="s">
        <v>8</v>
      </c>
      <c r="D393" s="45" t="s">
        <v>1182</v>
      </c>
      <c r="E393" s="45">
        <f>COUNTIF(Questions!D:D,D393)</f>
        <v>2</v>
      </c>
      <c r="F393" s="45" t="s">
        <v>1186</v>
      </c>
      <c r="G393" s="45" t="s">
        <v>11</v>
      </c>
      <c r="H393" s="45" t="s">
        <v>1184</v>
      </c>
      <c r="I393" s="45">
        <f>COUNTIF(Questions!H:H,H393)</f>
        <v>2</v>
      </c>
      <c r="J393" s="44"/>
    </row>
    <row r="394" spans="1:10" ht="22" customHeight="1" x14ac:dyDescent="0.35">
      <c r="A394" s="28" t="s">
        <v>1187</v>
      </c>
      <c r="B394" s="28"/>
      <c r="C394" s="29" t="s">
        <v>176</v>
      </c>
      <c r="D394" s="30" t="s">
        <v>1188</v>
      </c>
      <c r="E394" s="30">
        <f>COUNTIF(Questions!D:D,D394)</f>
        <v>2</v>
      </c>
      <c r="F394" s="30" t="s">
        <v>1189</v>
      </c>
      <c r="G394" s="30" t="s">
        <v>179</v>
      </c>
      <c r="H394" s="30" t="s">
        <v>1190</v>
      </c>
      <c r="I394" s="30">
        <f>COUNTIF(Questions!H:H,H394)</f>
        <v>2</v>
      </c>
      <c r="J394" s="29"/>
    </row>
    <row r="395" spans="1:10" ht="22" customHeight="1" x14ac:dyDescent="0.35">
      <c r="A395" s="28" t="s">
        <v>1191</v>
      </c>
      <c r="B395" s="28"/>
      <c r="C395" s="29" t="s">
        <v>176</v>
      </c>
      <c r="D395" s="30" t="s">
        <v>1188</v>
      </c>
      <c r="E395" s="30">
        <f>COUNTIF(Questions!D:D,D395)</f>
        <v>2</v>
      </c>
      <c r="F395" s="30" t="s">
        <v>1192</v>
      </c>
      <c r="G395" s="30" t="s">
        <v>179</v>
      </c>
      <c r="H395" s="30" t="s">
        <v>1190</v>
      </c>
      <c r="I395" s="30">
        <f>COUNTIF(Questions!H:H,H395)</f>
        <v>2</v>
      </c>
      <c r="J395" s="29"/>
    </row>
    <row r="396" spans="1:10" ht="22" customHeight="1" x14ac:dyDescent="0.35">
      <c r="A396" s="25" t="s">
        <v>1193</v>
      </c>
      <c r="B396" s="25"/>
      <c r="C396" s="26" t="s">
        <v>50</v>
      </c>
      <c r="D396" s="27" t="s">
        <v>1194</v>
      </c>
      <c r="E396" s="27">
        <f>COUNTIF(Questions!D:D,D396)</f>
        <v>2</v>
      </c>
      <c r="F396" s="27" t="s">
        <v>1195</v>
      </c>
      <c r="G396" s="27" t="s">
        <v>50</v>
      </c>
      <c r="H396" s="27" t="s">
        <v>1196</v>
      </c>
      <c r="I396" s="27">
        <f>COUNTIF(Questions!H:H,H396)</f>
        <v>2</v>
      </c>
      <c r="J396" s="26"/>
    </row>
    <row r="397" spans="1:10" ht="22" customHeight="1" x14ac:dyDescent="0.35">
      <c r="A397" s="25" t="s">
        <v>1197</v>
      </c>
      <c r="B397" s="25"/>
      <c r="C397" s="26" t="s">
        <v>50</v>
      </c>
      <c r="D397" s="27" t="s">
        <v>1194</v>
      </c>
      <c r="E397" s="27">
        <f>COUNTIF(Questions!D:D,D397)</f>
        <v>2</v>
      </c>
      <c r="F397" s="27" t="s">
        <v>1198</v>
      </c>
      <c r="G397" s="27" t="s">
        <v>50</v>
      </c>
      <c r="H397" s="27" t="s">
        <v>1196</v>
      </c>
      <c r="I397" s="27">
        <f>COUNTIF(Questions!H:H,H397)</f>
        <v>2</v>
      </c>
      <c r="J397" s="26"/>
    </row>
    <row r="398" spans="1:10" ht="22" customHeight="1" x14ac:dyDescent="0.35">
      <c r="A398" s="13" t="s">
        <v>1199</v>
      </c>
      <c r="B398" s="13"/>
      <c r="C398" s="14" t="s">
        <v>79</v>
      </c>
      <c r="D398" s="15" t="s">
        <v>1200</v>
      </c>
      <c r="E398" s="15">
        <f>COUNTIF(Questions!D:D,D398)</f>
        <v>2</v>
      </c>
      <c r="F398" s="15" t="s">
        <v>1201</v>
      </c>
      <c r="G398" s="15" t="s">
        <v>2043</v>
      </c>
      <c r="H398" s="15" t="s">
        <v>1202</v>
      </c>
      <c r="I398" s="15">
        <f>COUNTIF(Questions!H:H,H398)</f>
        <v>2</v>
      </c>
      <c r="J398" s="14"/>
    </row>
    <row r="399" spans="1:10" ht="22" customHeight="1" x14ac:dyDescent="0.35">
      <c r="A399" s="13" t="s">
        <v>1203</v>
      </c>
      <c r="B399" s="13"/>
      <c r="C399" s="14" t="s">
        <v>79</v>
      </c>
      <c r="D399" s="15" t="s">
        <v>1204</v>
      </c>
      <c r="E399" s="15">
        <f>COUNTIF(Questions!D:D,D399)</f>
        <v>2</v>
      </c>
      <c r="F399" s="15" t="s">
        <v>1205</v>
      </c>
      <c r="G399" s="15" t="s">
        <v>2043</v>
      </c>
      <c r="H399" s="15" t="s">
        <v>1206</v>
      </c>
      <c r="I399" s="15">
        <f>COUNTIF(Questions!H:H,H399)</f>
        <v>2</v>
      </c>
      <c r="J399" s="14"/>
    </row>
    <row r="400" spans="1:10" ht="22" customHeight="1" x14ac:dyDescent="0.35">
      <c r="A400" s="13" t="s">
        <v>1207</v>
      </c>
      <c r="B400" s="13"/>
      <c r="C400" s="14" t="s">
        <v>79</v>
      </c>
      <c r="D400" s="15" t="s">
        <v>1204</v>
      </c>
      <c r="E400" s="15">
        <f>COUNTIF(Questions!D:D,D400)</f>
        <v>2</v>
      </c>
      <c r="F400" s="15" t="s">
        <v>1208</v>
      </c>
      <c r="G400" s="15" t="s">
        <v>2043</v>
      </c>
      <c r="H400" s="15" t="s">
        <v>1206</v>
      </c>
      <c r="I400" s="15">
        <f>COUNTIF(Questions!H:H,H400)</f>
        <v>2</v>
      </c>
      <c r="J400" s="14"/>
    </row>
    <row r="401" spans="1:10" ht="22" customHeight="1" x14ac:dyDescent="0.35">
      <c r="A401" s="13" t="s">
        <v>1209</v>
      </c>
      <c r="B401" s="13"/>
      <c r="C401" s="14" t="s">
        <v>79</v>
      </c>
      <c r="D401" s="15" t="s">
        <v>1200</v>
      </c>
      <c r="E401" s="15">
        <f>COUNTIF(Questions!D:D,D401)</f>
        <v>2</v>
      </c>
      <c r="F401" s="15" t="s">
        <v>1210</v>
      </c>
      <c r="G401" s="15" t="s">
        <v>2043</v>
      </c>
      <c r="H401" s="15" t="s">
        <v>1202</v>
      </c>
      <c r="I401" s="15">
        <f>COUNTIF(Questions!H:H,H401)</f>
        <v>2</v>
      </c>
      <c r="J401" s="14"/>
    </row>
    <row r="402" spans="1:10" ht="22" customHeight="1" x14ac:dyDescent="0.35">
      <c r="A402" s="13" t="s">
        <v>1211</v>
      </c>
      <c r="B402" s="13"/>
      <c r="C402" s="14" t="s">
        <v>79</v>
      </c>
      <c r="D402" s="15" t="s">
        <v>1212</v>
      </c>
      <c r="E402" s="15">
        <f>COUNTIF(Questions!D:D,D402)</f>
        <v>2</v>
      </c>
      <c r="F402" s="15" t="s">
        <v>1213</v>
      </c>
      <c r="G402" s="15" t="s">
        <v>2043</v>
      </c>
      <c r="H402" s="15" t="s">
        <v>1214</v>
      </c>
      <c r="I402" s="15">
        <f>COUNTIF(Questions!H:H,H402)</f>
        <v>2</v>
      </c>
      <c r="J402" s="14"/>
    </row>
    <row r="403" spans="1:10" ht="22" customHeight="1" x14ac:dyDescent="0.35">
      <c r="A403" s="13" t="s">
        <v>1215</v>
      </c>
      <c r="B403" s="13"/>
      <c r="C403" s="14" t="s">
        <v>79</v>
      </c>
      <c r="D403" s="15" t="s">
        <v>1212</v>
      </c>
      <c r="E403" s="15">
        <f>COUNTIF(Questions!D:D,D403)</f>
        <v>2</v>
      </c>
      <c r="F403" s="15" t="s">
        <v>1216</v>
      </c>
      <c r="G403" s="15" t="s">
        <v>2043</v>
      </c>
      <c r="H403" s="15" t="s">
        <v>1214</v>
      </c>
      <c r="I403" s="15">
        <f>COUNTIF(Questions!H:H,H403)</f>
        <v>2</v>
      </c>
      <c r="J403" s="14"/>
    </row>
    <row r="404" spans="1:10" ht="22" customHeight="1" x14ac:dyDescent="0.35">
      <c r="A404" s="49" t="s">
        <v>1217</v>
      </c>
      <c r="B404" s="49"/>
      <c r="C404" s="50" t="s">
        <v>72</v>
      </c>
      <c r="D404" s="51" t="s">
        <v>1218</v>
      </c>
      <c r="E404" s="51">
        <f>COUNTIF(Questions!D:D,D404)</f>
        <v>2</v>
      </c>
      <c r="F404" s="51" t="s">
        <v>1219</v>
      </c>
      <c r="G404" s="51" t="s">
        <v>2120</v>
      </c>
      <c r="H404" s="51" t="s">
        <v>1220</v>
      </c>
      <c r="I404" s="51">
        <f>COUNTIF(Questions!H:H,H404)</f>
        <v>2</v>
      </c>
      <c r="J404" s="50"/>
    </row>
    <row r="405" spans="1:10" ht="22" customHeight="1" x14ac:dyDescent="0.35">
      <c r="A405" s="49" t="s">
        <v>1221</v>
      </c>
      <c r="B405" s="49"/>
      <c r="C405" s="50" t="s">
        <v>72</v>
      </c>
      <c r="D405" s="51" t="s">
        <v>1218</v>
      </c>
      <c r="E405" s="51">
        <f>COUNTIF(Questions!D:D,D405)</f>
        <v>2</v>
      </c>
      <c r="F405" s="51" t="s">
        <v>1222</v>
      </c>
      <c r="G405" s="51" t="s">
        <v>2120</v>
      </c>
      <c r="H405" s="51" t="s">
        <v>1220</v>
      </c>
      <c r="I405" s="51">
        <f>COUNTIF(Questions!H:H,H405)</f>
        <v>2</v>
      </c>
      <c r="J405" s="50"/>
    </row>
    <row r="406" spans="1:10" ht="22" customHeight="1" x14ac:dyDescent="0.35">
      <c r="A406" s="28" t="s">
        <v>1223</v>
      </c>
      <c r="B406" s="28"/>
      <c r="C406" s="29" t="s">
        <v>176</v>
      </c>
      <c r="D406" s="30" t="s">
        <v>1224</v>
      </c>
      <c r="E406" s="30">
        <f>COUNTIF(Questions!D:D,D406)</f>
        <v>2</v>
      </c>
      <c r="F406" s="30" t="s">
        <v>1225</v>
      </c>
      <c r="G406" s="30" t="s">
        <v>179</v>
      </c>
      <c r="H406" s="30" t="s">
        <v>1226</v>
      </c>
      <c r="I406" s="30">
        <f>COUNTIF(Questions!H:H,H406)</f>
        <v>2</v>
      </c>
      <c r="J406" s="29"/>
    </row>
    <row r="407" spans="1:10" ht="22" customHeight="1" x14ac:dyDescent="0.35">
      <c r="A407" s="28" t="s">
        <v>1227</v>
      </c>
      <c r="B407" s="28"/>
      <c r="C407" s="29" t="s">
        <v>176</v>
      </c>
      <c r="D407" s="30" t="s">
        <v>1224</v>
      </c>
      <c r="E407" s="30">
        <f>COUNTIF(Questions!D:D,D407)</f>
        <v>2</v>
      </c>
      <c r="F407" s="30" t="s">
        <v>1228</v>
      </c>
      <c r="G407" s="30" t="s">
        <v>179</v>
      </c>
      <c r="H407" s="30" t="s">
        <v>1226</v>
      </c>
      <c r="I407" s="30">
        <f>COUNTIF(Questions!H:H,H407)</f>
        <v>2</v>
      </c>
      <c r="J407" s="29"/>
    </row>
    <row r="408" spans="1:10" ht="22" customHeight="1" x14ac:dyDescent="0.35">
      <c r="A408" s="43" t="s">
        <v>1229</v>
      </c>
      <c r="B408" s="43"/>
      <c r="C408" s="44" t="s">
        <v>92</v>
      </c>
      <c r="D408" s="45" t="s">
        <v>1230</v>
      </c>
      <c r="E408" s="45">
        <f>COUNTIF(Questions!D:D,D408)</f>
        <v>2</v>
      </c>
      <c r="F408" s="45" t="s">
        <v>1231</v>
      </c>
      <c r="G408" s="45" t="s">
        <v>2125</v>
      </c>
      <c r="H408" s="45" t="s">
        <v>1232</v>
      </c>
      <c r="I408" s="45">
        <f>COUNTIF(Questions!H:H,H408)</f>
        <v>2</v>
      </c>
      <c r="J408" s="44"/>
    </row>
    <row r="409" spans="1:10" ht="22" customHeight="1" x14ac:dyDescent="0.35">
      <c r="A409" s="43" t="s">
        <v>1233</v>
      </c>
      <c r="B409" s="43"/>
      <c r="C409" s="44" t="s">
        <v>92</v>
      </c>
      <c r="D409" s="45" t="s">
        <v>1230</v>
      </c>
      <c r="E409" s="45">
        <f>COUNTIF(Questions!D:D,D409)</f>
        <v>2</v>
      </c>
      <c r="F409" s="45" t="s">
        <v>1234</v>
      </c>
      <c r="G409" s="45" t="s">
        <v>2125</v>
      </c>
      <c r="H409" s="45" t="s">
        <v>1232</v>
      </c>
      <c r="I409" s="45">
        <f>COUNTIF(Questions!H:H,H409)</f>
        <v>2</v>
      </c>
      <c r="J409" s="44"/>
    </row>
    <row r="410" spans="1:10" ht="22" customHeight="1" x14ac:dyDescent="0.35">
      <c r="A410" s="52" t="s">
        <v>1235</v>
      </c>
      <c r="B410" s="52"/>
      <c r="C410" s="53" t="s">
        <v>92</v>
      </c>
      <c r="D410" s="54" t="s">
        <v>1236</v>
      </c>
      <c r="E410" s="54">
        <f>COUNTIF(Questions!D:D,D410)</f>
        <v>2</v>
      </c>
      <c r="F410" s="54" t="s">
        <v>1237</v>
      </c>
      <c r="G410" s="54" t="s">
        <v>2125</v>
      </c>
      <c r="H410" s="54" t="s">
        <v>1238</v>
      </c>
      <c r="I410" s="54">
        <f>COUNTIF(Questions!H:H,H410)</f>
        <v>2</v>
      </c>
      <c r="J410" s="53"/>
    </row>
    <row r="411" spans="1:10" ht="22" customHeight="1" x14ac:dyDescent="0.35">
      <c r="A411" s="52" t="s">
        <v>1239</v>
      </c>
      <c r="B411" s="52"/>
      <c r="C411" s="53" t="s">
        <v>92</v>
      </c>
      <c r="D411" s="54" t="s">
        <v>1236</v>
      </c>
      <c r="E411" s="54">
        <f>COUNTIF(Questions!D:D,D411)</f>
        <v>2</v>
      </c>
      <c r="F411" s="54" t="s">
        <v>1240</v>
      </c>
      <c r="G411" s="54" t="s">
        <v>2125</v>
      </c>
      <c r="H411" s="54" t="s">
        <v>1238</v>
      </c>
      <c r="I411" s="54">
        <f>COUNTIF(Questions!H:H,H411)</f>
        <v>2</v>
      </c>
      <c r="J411" s="53"/>
    </row>
    <row r="412" spans="1:10" ht="22" customHeight="1" x14ac:dyDescent="0.35">
      <c r="A412" s="25" t="s">
        <v>1241</v>
      </c>
      <c r="B412" s="25"/>
      <c r="C412" s="26" t="s">
        <v>216</v>
      </c>
      <c r="D412" s="27" t="s">
        <v>1242</v>
      </c>
      <c r="E412" s="27">
        <f>COUNTIF(Questions!D:D,D412)</f>
        <v>2</v>
      </c>
      <c r="F412" s="27" t="s">
        <v>1243</v>
      </c>
      <c r="G412" s="27" t="s">
        <v>2124</v>
      </c>
      <c r="H412" s="27" t="s">
        <v>1244</v>
      </c>
      <c r="I412" s="27">
        <f>COUNTIF(Questions!H:H,H412)</f>
        <v>2</v>
      </c>
      <c r="J412" s="26"/>
    </row>
    <row r="413" spans="1:10" ht="22" customHeight="1" x14ac:dyDescent="0.35">
      <c r="A413" s="25" t="s">
        <v>1245</v>
      </c>
      <c r="B413" s="25"/>
      <c r="C413" s="26" t="s">
        <v>216</v>
      </c>
      <c r="D413" s="27" t="s">
        <v>1242</v>
      </c>
      <c r="E413" s="27">
        <f>COUNTIF(Questions!D:D,D413)</f>
        <v>2</v>
      </c>
      <c r="F413" s="27" t="s">
        <v>1246</v>
      </c>
      <c r="G413" s="27" t="s">
        <v>2124</v>
      </c>
      <c r="H413" s="27" t="s">
        <v>1244</v>
      </c>
      <c r="I413" s="27">
        <f>COUNTIF(Questions!H:H,H413)</f>
        <v>2</v>
      </c>
      <c r="J413" s="26"/>
    </row>
    <row r="414" spans="1:10" ht="22" customHeight="1" x14ac:dyDescent="0.35">
      <c r="A414" s="37" t="s">
        <v>1247</v>
      </c>
      <c r="B414" s="37"/>
      <c r="C414" s="38" t="s">
        <v>57</v>
      </c>
      <c r="D414" s="39" t="s">
        <v>1248</v>
      </c>
      <c r="E414" s="39">
        <f>COUNTIF(Questions!D:D,D414)</f>
        <v>2</v>
      </c>
      <c r="F414" s="39" t="s">
        <v>1249</v>
      </c>
      <c r="G414" s="39" t="s">
        <v>2121</v>
      </c>
      <c r="H414" s="39" t="s">
        <v>1250</v>
      </c>
      <c r="I414" s="39">
        <f>COUNTIF(Questions!H:H,H414)</f>
        <v>2</v>
      </c>
      <c r="J414" s="38"/>
    </row>
    <row r="415" spans="1:10" ht="22" customHeight="1" x14ac:dyDescent="0.35">
      <c r="A415" s="37" t="s">
        <v>1251</v>
      </c>
      <c r="B415" s="37"/>
      <c r="C415" s="38" t="s">
        <v>57</v>
      </c>
      <c r="D415" s="39" t="s">
        <v>1248</v>
      </c>
      <c r="E415" s="39">
        <f>COUNTIF(Questions!D:D,D415)</f>
        <v>2</v>
      </c>
      <c r="F415" s="39" t="s">
        <v>1252</v>
      </c>
      <c r="G415" s="39" t="s">
        <v>2121</v>
      </c>
      <c r="H415" s="39" t="s">
        <v>1250</v>
      </c>
      <c r="I415" s="39">
        <f>COUNTIF(Questions!H:H,H415)</f>
        <v>2</v>
      </c>
      <c r="J415" s="38"/>
    </row>
    <row r="416" spans="1:10" ht="22" customHeight="1" x14ac:dyDescent="0.35">
      <c r="A416" s="22" t="s">
        <v>1253</v>
      </c>
      <c r="B416" s="22"/>
      <c r="C416" s="23" t="s">
        <v>16</v>
      </c>
      <c r="D416" s="102" t="s">
        <v>2176</v>
      </c>
      <c r="E416" s="24">
        <f>COUNTIF(Questions!D:D,D416)</f>
        <v>2</v>
      </c>
      <c r="F416" s="24" t="s">
        <v>1254</v>
      </c>
      <c r="G416" s="24" t="s">
        <v>19</v>
      </c>
      <c r="H416" s="102" t="s">
        <v>2177</v>
      </c>
      <c r="I416" s="24">
        <f>COUNTIF(Questions!H:H,H416)</f>
        <v>2</v>
      </c>
      <c r="J416" s="23"/>
    </row>
    <row r="417" spans="1:10" ht="22" customHeight="1" x14ac:dyDescent="0.35">
      <c r="A417" s="22" t="s">
        <v>1255</v>
      </c>
      <c r="B417" s="22"/>
      <c r="C417" s="23" t="s">
        <v>16</v>
      </c>
      <c r="D417" s="102" t="s">
        <v>2176</v>
      </c>
      <c r="E417" s="24">
        <f>COUNTIF(Questions!D:D,D417)</f>
        <v>2</v>
      </c>
      <c r="F417" s="24" t="s">
        <v>1256</v>
      </c>
      <c r="G417" s="24" t="s">
        <v>19</v>
      </c>
      <c r="H417" s="102" t="s">
        <v>2177</v>
      </c>
      <c r="I417" s="24">
        <f>COUNTIF(Questions!H:H,H417)</f>
        <v>2</v>
      </c>
      <c r="J417" s="23"/>
    </row>
    <row r="418" spans="1:10" ht="22" customHeight="1" x14ac:dyDescent="0.35">
      <c r="A418" s="43" t="s">
        <v>1257</v>
      </c>
      <c r="B418" s="43"/>
      <c r="C418" s="44" t="s">
        <v>8</v>
      </c>
      <c r="D418" s="45" t="s">
        <v>1258</v>
      </c>
      <c r="E418" s="45">
        <f>COUNTIF(Questions!D:D,D418)</f>
        <v>2</v>
      </c>
      <c r="F418" s="45" t="s">
        <v>1259</v>
      </c>
      <c r="G418" s="45" t="s">
        <v>11</v>
      </c>
      <c r="H418" s="45" t="s">
        <v>1260</v>
      </c>
      <c r="I418" s="45">
        <f>COUNTIF(Questions!H:H,H418)</f>
        <v>2</v>
      </c>
      <c r="J418" s="44"/>
    </row>
    <row r="419" spans="1:10" ht="22" customHeight="1" x14ac:dyDescent="0.35">
      <c r="A419" s="43" t="s">
        <v>1261</v>
      </c>
      <c r="B419" s="43"/>
      <c r="C419" s="44" t="s">
        <v>8</v>
      </c>
      <c r="D419" s="45" t="s">
        <v>1258</v>
      </c>
      <c r="E419" s="45">
        <f>COUNTIF(Questions!D:D,D419)</f>
        <v>2</v>
      </c>
      <c r="F419" s="45" t="s">
        <v>1262</v>
      </c>
      <c r="G419" s="45" t="s">
        <v>11</v>
      </c>
      <c r="H419" s="45" t="s">
        <v>1260</v>
      </c>
      <c r="I419" s="45">
        <f>COUNTIF(Questions!H:H,H419)</f>
        <v>2</v>
      </c>
      <c r="J419" s="44"/>
    </row>
    <row r="420" spans="1:10" ht="22" customHeight="1" x14ac:dyDescent="0.35">
      <c r="A420" s="6" t="s">
        <v>1263</v>
      </c>
      <c r="B420" s="6"/>
      <c r="C420" s="7" t="s">
        <v>24</v>
      </c>
      <c r="D420" s="8" t="s">
        <v>1264</v>
      </c>
      <c r="E420" s="8">
        <f>COUNTIF(Questions!D:D,D420)</f>
        <v>2</v>
      </c>
      <c r="F420" s="8" t="s">
        <v>1265</v>
      </c>
      <c r="G420" s="8" t="s">
        <v>27</v>
      </c>
      <c r="H420" s="8" t="s">
        <v>1266</v>
      </c>
      <c r="I420" s="8">
        <f>COUNTIF(Questions!H:H,H420)</f>
        <v>2</v>
      </c>
      <c r="J420" s="7"/>
    </row>
    <row r="421" spans="1:10" ht="22" customHeight="1" x14ac:dyDescent="0.35">
      <c r="A421" s="6" t="s">
        <v>1267</v>
      </c>
      <c r="B421" s="6"/>
      <c r="C421" s="7" t="s">
        <v>24</v>
      </c>
      <c r="D421" s="8" t="s">
        <v>1264</v>
      </c>
      <c r="E421" s="8">
        <f>COUNTIF(Questions!D:D,D421)</f>
        <v>2</v>
      </c>
      <c r="F421" s="8" t="s">
        <v>1268</v>
      </c>
      <c r="G421" s="8" t="s">
        <v>27</v>
      </c>
      <c r="H421" s="8" t="s">
        <v>1266</v>
      </c>
      <c r="I421" s="8">
        <f>COUNTIF(Questions!H:H,H421)</f>
        <v>2</v>
      </c>
      <c r="J421" s="7"/>
    </row>
    <row r="422" spans="1:10" ht="22" customHeight="1" x14ac:dyDescent="0.35">
      <c r="A422" s="37" t="s">
        <v>1269</v>
      </c>
      <c r="B422" s="37"/>
      <c r="C422" s="38" t="s">
        <v>57</v>
      </c>
      <c r="D422" s="39" t="s">
        <v>1270</v>
      </c>
      <c r="E422" s="39">
        <f>COUNTIF(Questions!D:D,D422)</f>
        <v>2</v>
      </c>
      <c r="F422" s="39" t="s">
        <v>1271</v>
      </c>
      <c r="G422" s="39" t="s">
        <v>2121</v>
      </c>
      <c r="H422" s="39" t="s">
        <v>1272</v>
      </c>
      <c r="I422" s="39">
        <f>COUNTIF(Questions!H:H,H422)</f>
        <v>2</v>
      </c>
      <c r="J422" s="38"/>
    </row>
    <row r="423" spans="1:10" ht="22" customHeight="1" x14ac:dyDescent="0.35">
      <c r="A423" s="37" t="s">
        <v>1273</v>
      </c>
      <c r="B423" s="37"/>
      <c r="C423" s="38" t="s">
        <v>57</v>
      </c>
      <c r="D423" s="39" t="s">
        <v>1270</v>
      </c>
      <c r="E423" s="39">
        <f>COUNTIF(Questions!D:D,D423)</f>
        <v>2</v>
      </c>
      <c r="F423" s="39" t="s">
        <v>1274</v>
      </c>
      <c r="G423" s="39" t="s">
        <v>2121</v>
      </c>
      <c r="H423" s="39" t="s">
        <v>1272</v>
      </c>
      <c r="I423" s="39">
        <f>COUNTIF(Questions!H:H,H423)</f>
        <v>2</v>
      </c>
      <c r="J423" s="38"/>
    </row>
    <row r="424" spans="1:10" ht="22" customHeight="1" x14ac:dyDescent="0.35">
      <c r="A424" s="22" t="s">
        <v>1275</v>
      </c>
      <c r="B424" s="22"/>
      <c r="C424" s="23" t="s">
        <v>16</v>
      </c>
      <c r="D424" s="24" t="s">
        <v>1276</v>
      </c>
      <c r="E424" s="24">
        <f>COUNTIF(Questions!D:D,D424)</f>
        <v>2</v>
      </c>
      <c r="F424" s="24" t="s">
        <v>1277</v>
      </c>
      <c r="G424" s="24" t="s">
        <v>19</v>
      </c>
      <c r="H424" s="24" t="s">
        <v>1278</v>
      </c>
      <c r="I424" s="24">
        <f>COUNTIF(Questions!H:H,H424)</f>
        <v>2</v>
      </c>
      <c r="J424" s="23"/>
    </row>
    <row r="425" spans="1:10" ht="22" customHeight="1" x14ac:dyDescent="0.35">
      <c r="A425" s="22" t="s">
        <v>1279</v>
      </c>
      <c r="B425" s="22"/>
      <c r="C425" s="23" t="s">
        <v>16</v>
      </c>
      <c r="D425" s="24" t="s">
        <v>1276</v>
      </c>
      <c r="E425" s="24">
        <f>COUNTIF(Questions!D:D,D425)</f>
        <v>2</v>
      </c>
      <c r="F425" s="24" t="s">
        <v>1280</v>
      </c>
      <c r="G425" s="24" t="s">
        <v>19</v>
      </c>
      <c r="H425" s="24" t="s">
        <v>1278</v>
      </c>
      <c r="I425" s="24">
        <f>COUNTIF(Questions!H:H,H425)</f>
        <v>2</v>
      </c>
      <c r="J425" s="23"/>
    </row>
    <row r="426" spans="1:10" ht="22" customHeight="1" x14ac:dyDescent="0.35">
      <c r="A426" s="31" t="s">
        <v>1281</v>
      </c>
      <c r="B426" s="31"/>
      <c r="C426" s="32" t="s">
        <v>176</v>
      </c>
      <c r="D426" s="33" t="s">
        <v>1282</v>
      </c>
      <c r="E426" s="33">
        <f>COUNTIF(Questions!D:D,D426)</f>
        <v>2</v>
      </c>
      <c r="F426" s="33" t="s">
        <v>1283</v>
      </c>
      <c r="G426" s="33" t="s">
        <v>179</v>
      </c>
      <c r="H426" s="33" t="s">
        <v>1284</v>
      </c>
      <c r="I426" s="33">
        <f>COUNTIF(Questions!H:H,H426)</f>
        <v>2</v>
      </c>
      <c r="J426" s="32"/>
    </row>
    <row r="427" spans="1:10" ht="22" customHeight="1" x14ac:dyDescent="0.35">
      <c r="A427" s="31" t="s">
        <v>1285</v>
      </c>
      <c r="B427" s="31"/>
      <c r="C427" s="32" t="s">
        <v>176</v>
      </c>
      <c r="D427" s="33" t="s">
        <v>1282</v>
      </c>
      <c r="E427" s="33">
        <f>COUNTIF(Questions!D:D,D427)</f>
        <v>2</v>
      </c>
      <c r="F427" s="33" t="s">
        <v>1286</v>
      </c>
      <c r="G427" s="33" t="s">
        <v>179</v>
      </c>
      <c r="H427" s="33" t="s">
        <v>1284</v>
      </c>
      <c r="I427" s="33">
        <f>COUNTIF(Questions!H:H,H427)</f>
        <v>2</v>
      </c>
      <c r="J427" s="32"/>
    </row>
    <row r="428" spans="1:10" ht="22" customHeight="1" x14ac:dyDescent="0.35">
      <c r="A428" s="37" t="s">
        <v>1287</v>
      </c>
      <c r="B428" s="37"/>
      <c r="C428" s="38" t="s">
        <v>57</v>
      </c>
      <c r="D428" s="39" t="s">
        <v>1288</v>
      </c>
      <c r="E428" s="39">
        <f>COUNTIF(Questions!D:D,D428)</f>
        <v>2</v>
      </c>
      <c r="F428" s="39" t="s">
        <v>1289</v>
      </c>
      <c r="G428" s="39" t="s">
        <v>2121</v>
      </c>
      <c r="H428" s="39" t="s">
        <v>1290</v>
      </c>
      <c r="I428" s="39">
        <f>COUNTIF(Questions!H:H,H428)</f>
        <v>2</v>
      </c>
      <c r="J428" s="38"/>
    </row>
    <row r="429" spans="1:10" ht="22" customHeight="1" x14ac:dyDescent="0.35">
      <c r="A429" s="37" t="s">
        <v>1291</v>
      </c>
      <c r="B429" s="37"/>
      <c r="C429" s="38" t="s">
        <v>57</v>
      </c>
      <c r="D429" s="39" t="s">
        <v>1288</v>
      </c>
      <c r="E429" s="39">
        <f>COUNTIF(Questions!D:D,D429)</f>
        <v>2</v>
      </c>
      <c r="F429" s="39" t="s">
        <v>1292</v>
      </c>
      <c r="G429" s="39" t="s">
        <v>2121</v>
      </c>
      <c r="H429" s="39" t="s">
        <v>1290</v>
      </c>
      <c r="I429" s="39">
        <f>COUNTIF(Questions!H:H,H429)</f>
        <v>2</v>
      </c>
      <c r="J429" s="38"/>
    </row>
    <row r="430" spans="1:10" ht="22" customHeight="1" x14ac:dyDescent="0.35">
      <c r="A430" s="16" t="s">
        <v>1293</v>
      </c>
      <c r="B430" s="16"/>
      <c r="C430" s="17" t="s">
        <v>190</v>
      </c>
      <c r="D430" s="18" t="s">
        <v>1294</v>
      </c>
      <c r="E430" s="18">
        <f>COUNTIF(Questions!D:D,D430)</f>
        <v>2</v>
      </c>
      <c r="F430" s="18" t="s">
        <v>1295</v>
      </c>
      <c r="G430" s="18" t="s">
        <v>2126</v>
      </c>
      <c r="H430" s="18" t="s">
        <v>1296</v>
      </c>
      <c r="I430" s="18">
        <f>COUNTIF(Questions!H:H,H430)</f>
        <v>2</v>
      </c>
      <c r="J430" s="17"/>
    </row>
    <row r="431" spans="1:10" ht="22" customHeight="1" x14ac:dyDescent="0.35">
      <c r="A431" s="16" t="s">
        <v>1297</v>
      </c>
      <c r="B431" s="16"/>
      <c r="C431" s="17" t="s">
        <v>190</v>
      </c>
      <c r="D431" s="18" t="s">
        <v>1294</v>
      </c>
      <c r="E431" s="18">
        <f>COUNTIF(Questions!D:D,D431)</f>
        <v>2</v>
      </c>
      <c r="F431" s="18" t="s">
        <v>1298</v>
      </c>
      <c r="G431" s="18" t="s">
        <v>2126</v>
      </c>
      <c r="H431" s="18" t="s">
        <v>1296</v>
      </c>
      <c r="I431" s="18">
        <f>COUNTIF(Questions!H:H,H431)</f>
        <v>2</v>
      </c>
      <c r="J431" s="17"/>
    </row>
    <row r="432" spans="1:10" ht="22" customHeight="1" x14ac:dyDescent="0.35">
      <c r="A432" s="19" t="s">
        <v>1299</v>
      </c>
      <c r="B432" s="19"/>
      <c r="C432" s="20" t="s">
        <v>176</v>
      </c>
      <c r="D432" s="21" t="s">
        <v>1300</v>
      </c>
      <c r="E432" s="21">
        <f>COUNTIF(Questions!D:D,D432)</f>
        <v>2</v>
      </c>
      <c r="F432" s="21" t="s">
        <v>1301</v>
      </c>
      <c r="G432" s="21" t="s">
        <v>179</v>
      </c>
      <c r="H432" s="21" t="s">
        <v>1302</v>
      </c>
      <c r="I432" s="21">
        <f>COUNTIF(Questions!H:H,H432)</f>
        <v>2</v>
      </c>
      <c r="J432" s="20"/>
    </row>
    <row r="433" spans="1:10" ht="22" customHeight="1" x14ac:dyDescent="0.35">
      <c r="A433" s="25" t="s">
        <v>1303</v>
      </c>
      <c r="B433" s="25"/>
      <c r="C433" s="26" t="s">
        <v>216</v>
      </c>
      <c r="D433" s="27" t="s">
        <v>1304</v>
      </c>
      <c r="E433" s="27">
        <f>COUNTIF(Questions!D:D,D433)</f>
        <v>2</v>
      </c>
      <c r="F433" s="27" t="s">
        <v>1305</v>
      </c>
      <c r="G433" s="27" t="s">
        <v>2124</v>
      </c>
      <c r="H433" s="27" t="s">
        <v>1306</v>
      </c>
      <c r="I433" s="27">
        <f>COUNTIF(Questions!H:H,H433)</f>
        <v>2</v>
      </c>
      <c r="J433" s="26"/>
    </row>
    <row r="434" spans="1:10" ht="22" customHeight="1" x14ac:dyDescent="0.35">
      <c r="A434" s="37" t="s">
        <v>1307</v>
      </c>
      <c r="B434" s="37"/>
      <c r="C434" s="38" t="s">
        <v>57</v>
      </c>
      <c r="D434" s="39" t="s">
        <v>1308</v>
      </c>
      <c r="E434" s="39">
        <f>COUNTIF(Questions!D:D,D434)</f>
        <v>2</v>
      </c>
      <c r="F434" s="39" t="s">
        <v>1309</v>
      </c>
      <c r="G434" s="39" t="s">
        <v>2121</v>
      </c>
      <c r="H434" s="39" t="s">
        <v>1310</v>
      </c>
      <c r="I434" s="39">
        <f>COUNTIF(Questions!H:H,H434)</f>
        <v>2</v>
      </c>
      <c r="J434" s="38"/>
    </row>
    <row r="435" spans="1:10" ht="22" customHeight="1" x14ac:dyDescent="0.35">
      <c r="A435" s="37" t="s">
        <v>1311</v>
      </c>
      <c r="B435" s="37"/>
      <c r="C435" s="38" t="s">
        <v>57</v>
      </c>
      <c r="D435" s="39" t="s">
        <v>1308</v>
      </c>
      <c r="E435" s="39">
        <f>COUNTIF(Questions!D:D,D435)</f>
        <v>2</v>
      </c>
      <c r="F435" s="39" t="s">
        <v>1312</v>
      </c>
      <c r="G435" s="39" t="s">
        <v>2121</v>
      </c>
      <c r="H435" s="39" t="s">
        <v>1310</v>
      </c>
      <c r="I435" s="39">
        <f>COUNTIF(Questions!H:H,H435)</f>
        <v>2</v>
      </c>
      <c r="J435" s="38"/>
    </row>
    <row r="436" spans="1:10" ht="22" customHeight="1" x14ac:dyDescent="0.35">
      <c r="A436" s="43" t="s">
        <v>1313</v>
      </c>
      <c r="B436" s="43"/>
      <c r="C436" s="44" t="s">
        <v>8</v>
      </c>
      <c r="D436" s="45" t="s">
        <v>1314</v>
      </c>
      <c r="E436" s="45">
        <f>COUNTIF(Questions!D:D,D436)</f>
        <v>2</v>
      </c>
      <c r="F436" s="45" t="s">
        <v>1315</v>
      </c>
      <c r="G436" s="45" t="s">
        <v>11</v>
      </c>
      <c r="H436" s="45" t="s">
        <v>1316</v>
      </c>
      <c r="I436" s="45">
        <f>COUNTIF(Questions!H:H,H436)</f>
        <v>2</v>
      </c>
      <c r="J436" s="44"/>
    </row>
    <row r="437" spans="1:10" ht="22" customHeight="1" x14ac:dyDescent="0.35">
      <c r="A437" s="43" t="s">
        <v>1317</v>
      </c>
      <c r="B437" s="43"/>
      <c r="C437" s="44" t="s">
        <v>8</v>
      </c>
      <c r="D437" s="45" t="s">
        <v>1314</v>
      </c>
      <c r="E437" s="45">
        <v>2</v>
      </c>
      <c r="F437" s="45" t="s">
        <v>1318</v>
      </c>
      <c r="G437" s="45" t="s">
        <v>11</v>
      </c>
      <c r="H437" s="45" t="s">
        <v>1316</v>
      </c>
      <c r="I437" s="45">
        <f>COUNTIF(Questions!H:H,H437)</f>
        <v>2</v>
      </c>
      <c r="J437" s="44"/>
    </row>
    <row r="438" spans="1:10" ht="22" customHeight="1" x14ac:dyDescent="0.35">
      <c r="A438" s="43" t="s">
        <v>1319</v>
      </c>
      <c r="B438" s="43"/>
      <c r="C438" s="44" t="s">
        <v>8</v>
      </c>
      <c r="D438" s="45" t="s">
        <v>1320</v>
      </c>
      <c r="E438" s="45">
        <f>COUNTIF(Questions!D:D,D438)</f>
        <v>2</v>
      </c>
      <c r="F438" s="45" t="s">
        <v>1321</v>
      </c>
      <c r="G438" s="45" t="s">
        <v>11</v>
      </c>
      <c r="H438" s="45" t="s">
        <v>1322</v>
      </c>
      <c r="I438" s="45">
        <f>COUNTIF(Questions!H:H,H438)</f>
        <v>2</v>
      </c>
      <c r="J438" s="44"/>
    </row>
    <row r="439" spans="1:10" ht="22" customHeight="1" x14ac:dyDescent="0.35">
      <c r="A439" s="43" t="s">
        <v>1323</v>
      </c>
      <c r="B439" s="43"/>
      <c r="C439" s="44" t="s">
        <v>8</v>
      </c>
      <c r="D439" s="45" t="s">
        <v>1320</v>
      </c>
      <c r="E439" s="45">
        <f>COUNTIF(Questions!D:D,D439)</f>
        <v>2</v>
      </c>
      <c r="F439" s="45" t="s">
        <v>1324</v>
      </c>
      <c r="G439" s="45" t="s">
        <v>11</v>
      </c>
      <c r="H439" s="45" t="s">
        <v>1322</v>
      </c>
      <c r="I439" s="45">
        <f>COUNTIF(Questions!H:H,H439)</f>
        <v>2</v>
      </c>
      <c r="J439" s="44"/>
    </row>
    <row r="440" spans="1:10" ht="22" customHeight="1" x14ac:dyDescent="0.35">
      <c r="A440" s="6" t="s">
        <v>1325</v>
      </c>
      <c r="B440" s="6"/>
      <c r="C440" s="7" t="s">
        <v>50</v>
      </c>
      <c r="D440" s="8" t="s">
        <v>1326</v>
      </c>
      <c r="E440" s="8">
        <f>COUNTIF(Questions!D:D,D440)</f>
        <v>2</v>
      </c>
      <c r="F440" s="8" t="s">
        <v>1327</v>
      </c>
      <c r="G440" s="8" t="s">
        <v>50</v>
      </c>
      <c r="H440" s="8" t="s">
        <v>1328</v>
      </c>
      <c r="I440" s="8">
        <f>COUNTIF(Questions!H:H,H440)</f>
        <v>2</v>
      </c>
      <c r="J440" s="7"/>
    </row>
    <row r="441" spans="1:10" ht="22" customHeight="1" x14ac:dyDescent="0.35">
      <c r="A441" s="6" t="s">
        <v>1329</v>
      </c>
      <c r="B441" s="6"/>
      <c r="C441" s="7" t="s">
        <v>50</v>
      </c>
      <c r="D441" s="8" t="s">
        <v>1326</v>
      </c>
      <c r="E441" s="8">
        <f>COUNTIF(Questions!D:D,D441)</f>
        <v>2</v>
      </c>
      <c r="F441" s="8" t="s">
        <v>1330</v>
      </c>
      <c r="G441" s="8" t="s">
        <v>50</v>
      </c>
      <c r="H441" s="8" t="s">
        <v>1328</v>
      </c>
      <c r="I441" s="8">
        <f>COUNTIF(Questions!H:H,H441)</f>
        <v>2</v>
      </c>
      <c r="J441" s="7"/>
    </row>
    <row r="442" spans="1:10" ht="22" customHeight="1" x14ac:dyDescent="0.35">
      <c r="A442" s="25" t="s">
        <v>1331</v>
      </c>
      <c r="B442" s="25"/>
      <c r="C442" s="26" t="s">
        <v>50</v>
      </c>
      <c r="D442" s="27" t="s">
        <v>1332</v>
      </c>
      <c r="E442" s="27">
        <f>COUNTIF(Questions!D:D,D442)</f>
        <v>2</v>
      </c>
      <c r="F442" s="27" t="s">
        <v>1333</v>
      </c>
      <c r="G442" s="27" t="s">
        <v>50</v>
      </c>
      <c r="H442" s="27" t="s">
        <v>1334</v>
      </c>
      <c r="I442" s="27">
        <f>COUNTIF(Questions!H:H,H442)</f>
        <v>2</v>
      </c>
      <c r="J442" s="26"/>
    </row>
    <row r="443" spans="1:10" ht="22" customHeight="1" x14ac:dyDescent="0.35">
      <c r="A443" s="25" t="s">
        <v>1335</v>
      </c>
      <c r="B443" s="25"/>
      <c r="C443" s="26" t="s">
        <v>50</v>
      </c>
      <c r="D443" s="27" t="s">
        <v>1332</v>
      </c>
      <c r="E443" s="27">
        <f>COUNTIF(Questions!D:D,D443)</f>
        <v>2</v>
      </c>
      <c r="F443" s="27" t="s">
        <v>1336</v>
      </c>
      <c r="G443" s="27" t="s">
        <v>50</v>
      </c>
      <c r="H443" s="27" t="s">
        <v>1334</v>
      </c>
      <c r="I443" s="27">
        <f>COUNTIF(Questions!H:H,H443)</f>
        <v>2</v>
      </c>
      <c r="J443" s="26"/>
    </row>
    <row r="444" spans="1:10" ht="22" customHeight="1" x14ac:dyDescent="0.35">
      <c r="A444" s="25" t="s">
        <v>1337</v>
      </c>
      <c r="B444" s="25"/>
      <c r="C444" s="26" t="s">
        <v>216</v>
      </c>
      <c r="D444" s="27" t="s">
        <v>1304</v>
      </c>
      <c r="E444" s="27">
        <f>COUNTIF(Questions!D:D,D444)</f>
        <v>2</v>
      </c>
      <c r="F444" s="27" t="s">
        <v>1338</v>
      </c>
      <c r="G444" s="27" t="s">
        <v>2124</v>
      </c>
      <c r="H444" s="27" t="s">
        <v>1306</v>
      </c>
      <c r="I444" s="27">
        <f>COUNTIF(Questions!H:H,H444)</f>
        <v>2</v>
      </c>
      <c r="J444" s="26"/>
    </row>
    <row r="445" spans="1:10" ht="22" customHeight="1" x14ac:dyDescent="0.35">
      <c r="A445" s="25" t="s">
        <v>1339</v>
      </c>
      <c r="B445" s="25"/>
      <c r="C445" s="26" t="s">
        <v>216</v>
      </c>
      <c r="D445" s="27" t="s">
        <v>1340</v>
      </c>
      <c r="E445" s="27">
        <f>COUNTIF(Questions!D:D,D445)</f>
        <v>2</v>
      </c>
      <c r="F445" s="27" t="s">
        <v>1341</v>
      </c>
      <c r="G445" s="27" t="s">
        <v>2124</v>
      </c>
      <c r="H445" s="27" t="s">
        <v>1342</v>
      </c>
      <c r="I445" s="27">
        <f>COUNTIF(Questions!H:H,H445)</f>
        <v>2</v>
      </c>
      <c r="J445" s="26"/>
    </row>
    <row r="446" spans="1:10" ht="22" customHeight="1" x14ac:dyDescent="0.35">
      <c r="A446" s="6" t="s">
        <v>1343</v>
      </c>
      <c r="B446" s="6"/>
      <c r="C446" s="7" t="s">
        <v>50</v>
      </c>
      <c r="D446" s="8" t="s">
        <v>1344</v>
      </c>
      <c r="E446" s="8">
        <f>COUNTIF(Questions!D:D,D446)</f>
        <v>2</v>
      </c>
      <c r="F446" s="8" t="s">
        <v>1345</v>
      </c>
      <c r="G446" s="8" t="s">
        <v>50</v>
      </c>
      <c r="H446" s="8" t="s">
        <v>1346</v>
      </c>
      <c r="I446" s="8">
        <f>COUNTIF(Questions!H:H,H446)</f>
        <v>2</v>
      </c>
      <c r="J446" s="7"/>
    </row>
    <row r="447" spans="1:10" ht="22" customHeight="1" x14ac:dyDescent="0.35">
      <c r="A447" s="6" t="s">
        <v>1347</v>
      </c>
      <c r="B447" s="6"/>
      <c r="C447" s="7" t="s">
        <v>50</v>
      </c>
      <c r="D447" s="8" t="s">
        <v>1348</v>
      </c>
      <c r="E447" s="8">
        <f>COUNTIF(Questions!D:D,D447)</f>
        <v>2</v>
      </c>
      <c r="F447" s="8" t="s">
        <v>1349</v>
      </c>
      <c r="G447" s="8" t="s">
        <v>50</v>
      </c>
      <c r="H447" s="8" t="s">
        <v>1350</v>
      </c>
      <c r="I447" s="8">
        <f>COUNTIF(Questions!H:H,H447)</f>
        <v>2</v>
      </c>
      <c r="J447" s="7"/>
    </row>
    <row r="448" spans="1:10" ht="22" customHeight="1" x14ac:dyDescent="0.35">
      <c r="A448" s="6" t="s">
        <v>1351</v>
      </c>
      <c r="B448" s="6"/>
      <c r="C448" s="7" t="s">
        <v>50</v>
      </c>
      <c r="D448" s="8" t="s">
        <v>1348</v>
      </c>
      <c r="E448" s="8">
        <f>COUNTIF(Questions!D:D,D448)</f>
        <v>2</v>
      </c>
      <c r="F448" s="8" t="s">
        <v>1352</v>
      </c>
      <c r="G448" s="8" t="s">
        <v>50</v>
      </c>
      <c r="H448" s="8" t="s">
        <v>1350</v>
      </c>
      <c r="I448" s="8">
        <f>COUNTIF(Questions!H:H,H448)</f>
        <v>2</v>
      </c>
      <c r="J448" s="7"/>
    </row>
    <row r="449" spans="1:10" ht="22" customHeight="1" x14ac:dyDescent="0.35">
      <c r="A449" s="6" t="s">
        <v>1353</v>
      </c>
      <c r="B449" s="6"/>
      <c r="C449" s="7" t="s">
        <v>50</v>
      </c>
      <c r="D449" s="8" t="s">
        <v>1344</v>
      </c>
      <c r="E449" s="8">
        <f>COUNTIF(Questions!D:D,D449)</f>
        <v>2</v>
      </c>
      <c r="F449" s="8" t="s">
        <v>1354</v>
      </c>
      <c r="G449" s="8" t="s">
        <v>50</v>
      </c>
      <c r="H449" s="8" t="s">
        <v>1346</v>
      </c>
      <c r="I449" s="8">
        <f>COUNTIF(Questions!H:H,H449)</f>
        <v>2</v>
      </c>
      <c r="J449" s="7"/>
    </row>
    <row r="450" spans="1:10" ht="22" customHeight="1" x14ac:dyDescent="0.35">
      <c r="A450" s="13" t="s">
        <v>1355</v>
      </c>
      <c r="B450" s="13"/>
      <c r="C450" s="14" t="s">
        <v>79</v>
      </c>
      <c r="D450" s="15" t="s">
        <v>1356</v>
      </c>
      <c r="E450" s="15">
        <f>COUNTIF(Questions!D:D,D450)</f>
        <v>2</v>
      </c>
      <c r="F450" s="15" t="s">
        <v>1357</v>
      </c>
      <c r="G450" s="15" t="s">
        <v>2043</v>
      </c>
      <c r="H450" s="15" t="s">
        <v>1358</v>
      </c>
      <c r="I450" s="15">
        <f>COUNTIF(Questions!H:H,H450)</f>
        <v>2</v>
      </c>
      <c r="J450" s="14"/>
    </row>
    <row r="451" spans="1:10" ht="22" customHeight="1" x14ac:dyDescent="0.35">
      <c r="A451" s="13" t="s">
        <v>1359</v>
      </c>
      <c r="B451" s="13"/>
      <c r="C451" s="14" t="s">
        <v>79</v>
      </c>
      <c r="D451" s="15" t="s">
        <v>1356</v>
      </c>
      <c r="E451" s="15">
        <f>COUNTIF(Questions!D:D,D451)</f>
        <v>2</v>
      </c>
      <c r="F451" s="15" t="s">
        <v>1360</v>
      </c>
      <c r="G451" s="15" t="s">
        <v>2043</v>
      </c>
      <c r="H451" s="15" t="s">
        <v>1358</v>
      </c>
      <c r="I451" s="15">
        <f>COUNTIF(Questions!H:H,H451)</f>
        <v>2</v>
      </c>
      <c r="J451" s="14"/>
    </row>
    <row r="452" spans="1:10" ht="22" customHeight="1" x14ac:dyDescent="0.35">
      <c r="A452" s="40" t="s">
        <v>1361</v>
      </c>
      <c r="B452" s="40"/>
      <c r="C452" s="41" t="s">
        <v>145</v>
      </c>
      <c r="D452" s="42" t="s">
        <v>1362</v>
      </c>
      <c r="E452" s="42">
        <f>COUNTIF(Questions!D:D,D452)</f>
        <v>2</v>
      </c>
      <c r="F452" s="42" t="s">
        <v>1363</v>
      </c>
      <c r="G452" s="42" t="s">
        <v>2127</v>
      </c>
      <c r="H452" s="42" t="s">
        <v>1364</v>
      </c>
      <c r="I452" s="42">
        <f>COUNTIF(Questions!H:H,H452)</f>
        <v>2</v>
      </c>
      <c r="J452" s="41"/>
    </row>
    <row r="453" spans="1:10" ht="22" customHeight="1" x14ac:dyDescent="0.35">
      <c r="A453" s="40" t="s">
        <v>1365</v>
      </c>
      <c r="B453" s="40"/>
      <c r="C453" s="41" t="s">
        <v>145</v>
      </c>
      <c r="D453" s="42" t="s">
        <v>1362</v>
      </c>
      <c r="E453" s="42">
        <f>COUNTIF(Questions!D:D,D453)</f>
        <v>2</v>
      </c>
      <c r="F453" s="42" t="s">
        <v>1366</v>
      </c>
      <c r="G453" s="42" t="s">
        <v>2127</v>
      </c>
      <c r="H453" s="42" t="s">
        <v>1364</v>
      </c>
      <c r="I453" s="42">
        <f>COUNTIF(Questions!H:H,H453)</f>
        <v>2</v>
      </c>
      <c r="J453" s="41"/>
    </row>
    <row r="454" spans="1:10" ht="22" customHeight="1" x14ac:dyDescent="0.35">
      <c r="A454" s="16" t="s">
        <v>1367</v>
      </c>
      <c r="B454" s="16"/>
      <c r="C454" s="17" t="s">
        <v>190</v>
      </c>
      <c r="D454" s="18" t="s">
        <v>1368</v>
      </c>
      <c r="E454" s="18">
        <f>COUNTIF(Questions!D:D,D454)</f>
        <v>2</v>
      </c>
      <c r="F454" s="18" t="s">
        <v>1369</v>
      </c>
      <c r="G454" s="18" t="s">
        <v>2126</v>
      </c>
      <c r="H454" s="18" t="s">
        <v>1370</v>
      </c>
      <c r="I454" s="18">
        <f>COUNTIF(Questions!H:H,H454)</f>
        <v>2</v>
      </c>
      <c r="J454" s="17"/>
    </row>
    <row r="455" spans="1:10" ht="22" customHeight="1" x14ac:dyDescent="0.35">
      <c r="A455" s="16" t="s">
        <v>1371</v>
      </c>
      <c r="B455" s="16"/>
      <c r="C455" s="17" t="s">
        <v>190</v>
      </c>
      <c r="D455" s="18" t="s">
        <v>1368</v>
      </c>
      <c r="E455" s="18">
        <f>COUNTIF(Questions!D:D,D455)</f>
        <v>2</v>
      </c>
      <c r="F455" s="18" t="s">
        <v>1372</v>
      </c>
      <c r="G455" s="18" t="s">
        <v>2126</v>
      </c>
      <c r="H455" s="18" t="s">
        <v>1370</v>
      </c>
      <c r="I455" s="18">
        <f>COUNTIF(Questions!H:H,H455)</f>
        <v>2</v>
      </c>
      <c r="J455" s="17"/>
    </row>
    <row r="456" spans="1:10" ht="22" customHeight="1" x14ac:dyDescent="0.35">
      <c r="A456" s="22" t="s">
        <v>1373</v>
      </c>
      <c r="B456" s="22"/>
      <c r="C456" s="23" t="s">
        <v>16</v>
      </c>
      <c r="D456" s="24" t="s">
        <v>1374</v>
      </c>
      <c r="E456" s="24">
        <f>COUNTIF(Questions!D:D,D456)</f>
        <v>2</v>
      </c>
      <c r="F456" s="24" t="s">
        <v>1375</v>
      </c>
      <c r="G456" s="24" t="s">
        <v>19</v>
      </c>
      <c r="H456" s="24" t="s">
        <v>1376</v>
      </c>
      <c r="I456" s="24">
        <f>COUNTIF(Questions!H:H,H456)</f>
        <v>2</v>
      </c>
      <c r="J456" s="23"/>
    </row>
    <row r="457" spans="1:10" ht="22" customHeight="1" x14ac:dyDescent="0.35">
      <c r="A457" s="22" t="s">
        <v>1377</v>
      </c>
      <c r="B457" s="22"/>
      <c r="C457" s="23" t="s">
        <v>16</v>
      </c>
      <c r="D457" s="24" t="s">
        <v>1374</v>
      </c>
      <c r="E457" s="24">
        <f>COUNTIF(Questions!D:D,D457)</f>
        <v>2</v>
      </c>
      <c r="F457" s="24" t="s">
        <v>1378</v>
      </c>
      <c r="G457" s="24" t="s">
        <v>19</v>
      </c>
      <c r="H457" s="24" t="s">
        <v>1376</v>
      </c>
      <c r="I457" s="24">
        <f>COUNTIF(Questions!H:H,H457)</f>
        <v>2</v>
      </c>
      <c r="J457" s="23"/>
    </row>
    <row r="458" spans="1:10" ht="22" customHeight="1" x14ac:dyDescent="0.35">
      <c r="A458" s="25" t="s">
        <v>1379</v>
      </c>
      <c r="B458" s="25"/>
      <c r="C458" s="26" t="s">
        <v>216</v>
      </c>
      <c r="D458" s="27" t="s">
        <v>1340</v>
      </c>
      <c r="E458" s="27">
        <f>COUNTIF(Questions!D:D,D458)</f>
        <v>2</v>
      </c>
      <c r="F458" s="27" t="s">
        <v>1380</v>
      </c>
      <c r="G458" s="27" t="s">
        <v>2124</v>
      </c>
      <c r="H458" s="27" t="s">
        <v>1342</v>
      </c>
      <c r="I458" s="27">
        <f>COUNTIF(Questions!H:H,H458)</f>
        <v>2</v>
      </c>
      <c r="J458" s="26"/>
    </row>
    <row r="459" spans="1:10" ht="22" customHeight="1" x14ac:dyDescent="0.35">
      <c r="A459" s="25" t="s">
        <v>1381</v>
      </c>
      <c r="B459" s="25"/>
      <c r="C459" s="26" t="s">
        <v>216</v>
      </c>
      <c r="D459" s="27" t="s">
        <v>1382</v>
      </c>
      <c r="E459" s="27">
        <f>COUNTIF(Questions!D:D,D459)</f>
        <v>2</v>
      </c>
      <c r="F459" s="27" t="s">
        <v>1383</v>
      </c>
      <c r="G459" s="27" t="s">
        <v>2124</v>
      </c>
      <c r="H459" s="27" t="s">
        <v>1384</v>
      </c>
      <c r="I459" s="27">
        <f>COUNTIF(Questions!H:H,H459)</f>
        <v>2</v>
      </c>
      <c r="J459" s="26"/>
    </row>
    <row r="460" spans="1:10" ht="22" customHeight="1" x14ac:dyDescent="0.35">
      <c r="A460" s="16" t="s">
        <v>1385</v>
      </c>
      <c r="B460" s="16"/>
      <c r="C460" s="17" t="s">
        <v>190</v>
      </c>
      <c r="D460" s="18" t="s">
        <v>1386</v>
      </c>
      <c r="E460" s="18">
        <f>COUNTIF(Questions!D:D,D460)</f>
        <v>2</v>
      </c>
      <c r="F460" s="18" t="s">
        <v>1387</v>
      </c>
      <c r="G460" s="18" t="s">
        <v>2126</v>
      </c>
      <c r="H460" s="18" t="s">
        <v>1388</v>
      </c>
      <c r="I460" s="18">
        <f>COUNTIF(Questions!H:H,H460)</f>
        <v>2</v>
      </c>
      <c r="J460" s="17"/>
    </row>
    <row r="461" spans="1:10" ht="22" customHeight="1" x14ac:dyDescent="0.35">
      <c r="A461" s="16" t="s">
        <v>1389</v>
      </c>
      <c r="B461" s="16"/>
      <c r="C461" s="17" t="s">
        <v>190</v>
      </c>
      <c r="D461" s="18" t="s">
        <v>1386</v>
      </c>
      <c r="E461" s="18">
        <f>COUNTIF(Questions!D:D,D461)</f>
        <v>2</v>
      </c>
      <c r="F461" s="18" t="s">
        <v>1390</v>
      </c>
      <c r="G461" s="18" t="s">
        <v>2126</v>
      </c>
      <c r="H461" s="18" t="s">
        <v>1388</v>
      </c>
      <c r="I461" s="18">
        <f>COUNTIF(Questions!H:H,H461)</f>
        <v>2</v>
      </c>
      <c r="J461" s="17"/>
    </row>
    <row r="462" spans="1:10" ht="22" customHeight="1" x14ac:dyDescent="0.35">
      <c r="A462" s="25" t="s">
        <v>1391</v>
      </c>
      <c r="B462" s="25"/>
      <c r="C462" s="26" t="s">
        <v>216</v>
      </c>
      <c r="D462" s="27" t="s">
        <v>1382</v>
      </c>
      <c r="E462" s="27">
        <f>COUNTIF(Questions!D:D,D462)</f>
        <v>2</v>
      </c>
      <c r="F462" s="27" t="s">
        <v>1392</v>
      </c>
      <c r="G462" s="27" t="s">
        <v>2124</v>
      </c>
      <c r="H462" s="27" t="s">
        <v>1384</v>
      </c>
      <c r="I462" s="27">
        <f>COUNTIF(Questions!H:H,H462)</f>
        <v>2</v>
      </c>
      <c r="J462" s="26"/>
    </row>
    <row r="463" spans="1:10" ht="22" customHeight="1" x14ac:dyDescent="0.35">
      <c r="A463" s="19" t="s">
        <v>1393</v>
      </c>
      <c r="B463" s="19"/>
      <c r="C463" s="20" t="s">
        <v>176</v>
      </c>
      <c r="D463" s="21" t="s">
        <v>1300</v>
      </c>
      <c r="E463" s="21">
        <f>COUNTIF(Questions!D:D,D463)</f>
        <v>2</v>
      </c>
      <c r="F463" s="21" t="s">
        <v>1394</v>
      </c>
      <c r="G463" s="21" t="s">
        <v>179</v>
      </c>
      <c r="H463" s="21" t="s">
        <v>1302</v>
      </c>
      <c r="I463" s="21">
        <f>COUNTIF(Questions!H:H,H463)</f>
        <v>2</v>
      </c>
      <c r="J463" s="20" t="s">
        <v>1395</v>
      </c>
    </row>
    <row r="464" spans="1:10" ht="22" customHeight="1" x14ac:dyDescent="0.35">
      <c r="A464" s="43" t="s">
        <v>1396</v>
      </c>
      <c r="B464" s="43"/>
      <c r="C464" s="44" t="s">
        <v>8</v>
      </c>
      <c r="D464" s="45" t="s">
        <v>1397</v>
      </c>
      <c r="E464" s="45">
        <f>COUNTIF(Questions!D:D,D464)</f>
        <v>2</v>
      </c>
      <c r="F464" s="45" t="s">
        <v>1398</v>
      </c>
      <c r="G464" s="45" t="s">
        <v>11</v>
      </c>
      <c r="H464" s="45" t="s">
        <v>1399</v>
      </c>
      <c r="I464" s="45">
        <f>COUNTIF(Questions!H:H,H464)</f>
        <v>2</v>
      </c>
      <c r="J464" s="44"/>
    </row>
    <row r="465" spans="1:10" ht="22" customHeight="1" x14ac:dyDescent="0.35">
      <c r="A465" s="43" t="s">
        <v>1400</v>
      </c>
      <c r="B465" s="43"/>
      <c r="C465" s="44" t="s">
        <v>8</v>
      </c>
      <c r="D465" s="45" t="s">
        <v>1397</v>
      </c>
      <c r="E465" s="45">
        <f>COUNTIF(Questions!D:D,D465)</f>
        <v>2</v>
      </c>
      <c r="F465" s="45" t="s">
        <v>1401</v>
      </c>
      <c r="G465" s="45" t="s">
        <v>11</v>
      </c>
      <c r="H465" s="45" t="s">
        <v>1399</v>
      </c>
      <c r="I465" s="45">
        <f>COUNTIF(Questions!H:H,H465)</f>
        <v>2</v>
      </c>
      <c r="J465" s="44"/>
    </row>
    <row r="466" spans="1:10" ht="22" customHeight="1" x14ac:dyDescent="0.35">
      <c r="A466" s="13" t="s">
        <v>1402</v>
      </c>
      <c r="B466" s="13"/>
      <c r="C466" s="14" t="s">
        <v>79</v>
      </c>
      <c r="D466" s="15" t="s">
        <v>1403</v>
      </c>
      <c r="E466" s="15">
        <f>COUNTIF(Questions!D:D,D466)</f>
        <v>2</v>
      </c>
      <c r="F466" s="15" t="s">
        <v>1404</v>
      </c>
      <c r="G466" s="15" t="s">
        <v>2043</v>
      </c>
      <c r="H466" s="15" t="s">
        <v>1405</v>
      </c>
      <c r="I466" s="15">
        <f>COUNTIF(Questions!H:H,H466)</f>
        <v>2</v>
      </c>
      <c r="J466" s="14"/>
    </row>
    <row r="467" spans="1:10" ht="22" customHeight="1" x14ac:dyDescent="0.35">
      <c r="A467" s="13" t="s">
        <v>1406</v>
      </c>
      <c r="B467" s="13"/>
      <c r="C467" s="14" t="s">
        <v>79</v>
      </c>
      <c r="D467" s="15" t="s">
        <v>1403</v>
      </c>
      <c r="E467" s="15">
        <f>COUNTIF(Questions!D:D,D467)</f>
        <v>2</v>
      </c>
      <c r="F467" s="15" t="s">
        <v>1407</v>
      </c>
      <c r="G467" s="15" t="s">
        <v>2043</v>
      </c>
      <c r="H467" s="15" t="s">
        <v>1405</v>
      </c>
      <c r="I467" s="15">
        <f>COUNTIF(Questions!H:H,H467)</f>
        <v>2</v>
      </c>
      <c r="J467" s="14"/>
    </row>
    <row r="468" spans="1:10" ht="22" customHeight="1" x14ac:dyDescent="0.35">
      <c r="A468" s="25" t="s">
        <v>1408</v>
      </c>
      <c r="B468" s="25"/>
      <c r="C468" s="26" t="s">
        <v>216</v>
      </c>
      <c r="D468" s="27" t="s">
        <v>1409</v>
      </c>
      <c r="E468" s="27">
        <f>COUNTIF(Questions!D:D,D468)</f>
        <v>2</v>
      </c>
      <c r="F468" s="27" t="s">
        <v>1410</v>
      </c>
      <c r="G468" s="27" t="s">
        <v>2124</v>
      </c>
      <c r="H468" s="27" t="s">
        <v>1411</v>
      </c>
      <c r="I468" s="27">
        <f>COUNTIF(Questions!H:H,H468)</f>
        <v>2</v>
      </c>
      <c r="J468" s="26"/>
    </row>
    <row r="469" spans="1:10" ht="22" customHeight="1" x14ac:dyDescent="0.35">
      <c r="A469" s="25" t="s">
        <v>1412</v>
      </c>
      <c r="B469" s="25"/>
      <c r="C469" s="26" t="s">
        <v>216</v>
      </c>
      <c r="D469" s="27" t="s">
        <v>1409</v>
      </c>
      <c r="E469" s="27">
        <f>COUNTIF(Questions!D:D,D469)</f>
        <v>2</v>
      </c>
      <c r="F469" s="27" t="s">
        <v>1413</v>
      </c>
      <c r="G469" s="27" t="s">
        <v>2124</v>
      </c>
      <c r="H469" s="27" t="s">
        <v>1411</v>
      </c>
      <c r="I469" s="27">
        <f>COUNTIF(Questions!H:H,H469)</f>
        <v>2</v>
      </c>
      <c r="J469" s="26"/>
    </row>
    <row r="470" spans="1:10" ht="22" customHeight="1" x14ac:dyDescent="0.35">
      <c r="A470" s="25" t="s">
        <v>1414</v>
      </c>
      <c r="B470" s="25"/>
      <c r="C470" s="26" t="s">
        <v>216</v>
      </c>
      <c r="D470" s="27" t="s">
        <v>1415</v>
      </c>
      <c r="E470" s="27">
        <f>COUNTIF(Questions!D:D,D470)</f>
        <v>2</v>
      </c>
      <c r="F470" s="27" t="s">
        <v>1416</v>
      </c>
      <c r="G470" s="27" t="s">
        <v>2124</v>
      </c>
      <c r="H470" s="27" t="s">
        <v>1417</v>
      </c>
      <c r="I470" s="27">
        <f>COUNTIF(Questions!H:H,H470)</f>
        <v>2</v>
      </c>
      <c r="J470" s="26"/>
    </row>
    <row r="471" spans="1:10" ht="22" customHeight="1" x14ac:dyDescent="0.35">
      <c r="A471" s="25" t="s">
        <v>1418</v>
      </c>
      <c r="B471" s="25"/>
      <c r="C471" s="26" t="s">
        <v>216</v>
      </c>
      <c r="D471" s="27" t="s">
        <v>1415</v>
      </c>
      <c r="E471" s="27">
        <f>COUNTIF(Questions!D:D,D471)</f>
        <v>2</v>
      </c>
      <c r="F471" s="27" t="s">
        <v>1419</v>
      </c>
      <c r="G471" s="27" t="s">
        <v>2124</v>
      </c>
      <c r="H471" s="27" t="s">
        <v>1417</v>
      </c>
      <c r="I471" s="27">
        <f>COUNTIF(Questions!H:H,H471)</f>
        <v>2</v>
      </c>
      <c r="J471" s="26"/>
    </row>
    <row r="472" spans="1:10" ht="22" customHeight="1" x14ac:dyDescent="0.35">
      <c r="A472" s="25" t="s">
        <v>1420</v>
      </c>
      <c r="B472" s="25"/>
      <c r="C472" s="26" t="s">
        <v>216</v>
      </c>
      <c r="D472" s="27" t="s">
        <v>1421</v>
      </c>
      <c r="E472" s="27">
        <f>COUNTIF(Questions!D:D,D472)</f>
        <v>2</v>
      </c>
      <c r="F472" s="27" t="s">
        <v>1422</v>
      </c>
      <c r="G472" s="27" t="s">
        <v>2124</v>
      </c>
      <c r="H472" s="27" t="s">
        <v>1423</v>
      </c>
      <c r="I472" s="27">
        <f>COUNTIF(Questions!H:H,H472)</f>
        <v>2</v>
      </c>
      <c r="J472" s="26"/>
    </row>
    <row r="473" spans="1:10" ht="22" customHeight="1" x14ac:dyDescent="0.35">
      <c r="A473" s="25" t="s">
        <v>1424</v>
      </c>
      <c r="B473" s="25"/>
      <c r="C473" s="26" t="s">
        <v>216</v>
      </c>
      <c r="D473" s="27" t="s">
        <v>1421</v>
      </c>
      <c r="E473" s="27">
        <f>COUNTIF(Questions!D:D,D473)</f>
        <v>2</v>
      </c>
      <c r="F473" s="27" t="s">
        <v>1425</v>
      </c>
      <c r="G473" s="101" t="s">
        <v>2124</v>
      </c>
      <c r="H473" s="27" t="s">
        <v>1423</v>
      </c>
      <c r="I473" s="27">
        <f>COUNTIF(Questions!H:H,H473)</f>
        <v>2</v>
      </c>
      <c r="J473" s="26"/>
    </row>
    <row r="474" spans="1:10" ht="22" customHeight="1" x14ac:dyDescent="0.35">
      <c r="A474" s="25" t="s">
        <v>1426</v>
      </c>
      <c r="B474" s="25"/>
      <c r="C474" s="26" t="s">
        <v>216</v>
      </c>
      <c r="D474" s="27" t="s">
        <v>1427</v>
      </c>
      <c r="E474" s="27">
        <f>COUNTIF(Questions!D:D,D474)</f>
        <v>2</v>
      </c>
      <c r="F474" s="27" t="s">
        <v>1428</v>
      </c>
      <c r="G474" s="27" t="s">
        <v>2124</v>
      </c>
      <c r="H474" s="27" t="s">
        <v>1429</v>
      </c>
      <c r="I474" s="27">
        <f>COUNTIF(Questions!H:H,H474)</f>
        <v>2</v>
      </c>
      <c r="J474" s="26"/>
    </row>
    <row r="475" spans="1:10" ht="22" customHeight="1" x14ac:dyDescent="0.35">
      <c r="A475" s="25" t="s">
        <v>1430</v>
      </c>
      <c r="B475" s="25"/>
      <c r="C475" s="26" t="s">
        <v>216</v>
      </c>
      <c r="D475" s="27" t="s">
        <v>1427</v>
      </c>
      <c r="E475" s="27">
        <f>COUNTIF(Questions!D:D,D475)</f>
        <v>2</v>
      </c>
      <c r="F475" s="27" t="s">
        <v>1431</v>
      </c>
      <c r="G475" s="27" t="s">
        <v>2124</v>
      </c>
      <c r="H475" s="27" t="s">
        <v>1429</v>
      </c>
      <c r="I475" s="27">
        <f>COUNTIF(Questions!H:H,H475)</f>
        <v>2</v>
      </c>
      <c r="J475" s="26"/>
    </row>
    <row r="476" spans="1:10" ht="22" customHeight="1" x14ac:dyDescent="0.35">
      <c r="A476" s="37" t="s">
        <v>1432</v>
      </c>
      <c r="B476" s="37"/>
      <c r="C476" s="38" t="s">
        <v>57</v>
      </c>
      <c r="D476" s="39" t="s">
        <v>1433</v>
      </c>
      <c r="E476" s="39">
        <f>COUNTIF(Questions!D:D,D476)</f>
        <v>2</v>
      </c>
      <c r="F476" s="39" t="s">
        <v>1434</v>
      </c>
      <c r="G476" s="39" t="s">
        <v>2121</v>
      </c>
      <c r="H476" s="39" t="s">
        <v>1435</v>
      </c>
      <c r="I476" s="39">
        <f>COUNTIF(Questions!H:H,H476)</f>
        <v>2</v>
      </c>
      <c r="J476" s="38">
        <v>23</v>
      </c>
    </row>
    <row r="477" spans="1:10" ht="22" customHeight="1" x14ac:dyDescent="0.35">
      <c r="A477" s="37" t="s">
        <v>1436</v>
      </c>
      <c r="B477" s="37"/>
      <c r="C477" s="38" t="s">
        <v>57</v>
      </c>
      <c r="D477" s="39" t="s">
        <v>1433</v>
      </c>
      <c r="E477" s="39">
        <f>COUNTIF(Questions!D:D,D477)</f>
        <v>2</v>
      </c>
      <c r="F477" s="39" t="s">
        <v>1437</v>
      </c>
      <c r="G477" s="39" t="s">
        <v>2121</v>
      </c>
      <c r="H477" s="39" t="s">
        <v>1435</v>
      </c>
      <c r="I477" s="39">
        <f>COUNTIF(Questions!H:H,H477)</f>
        <v>2</v>
      </c>
      <c r="J477" s="38"/>
    </row>
    <row r="478" spans="1:10" ht="22" customHeight="1" x14ac:dyDescent="0.35">
      <c r="A478" s="37" t="s">
        <v>1438</v>
      </c>
      <c r="B478" s="37"/>
      <c r="C478" s="38" t="s">
        <v>57</v>
      </c>
      <c r="D478" s="39" t="s">
        <v>1439</v>
      </c>
      <c r="E478" s="39">
        <f>COUNTIF(Questions!D:D,D478)</f>
        <v>2</v>
      </c>
      <c r="F478" s="39" t="s">
        <v>1440</v>
      </c>
      <c r="G478" s="39" t="s">
        <v>2121</v>
      </c>
      <c r="H478" s="39" t="s">
        <v>1441</v>
      </c>
      <c r="I478" s="39">
        <f>COUNTIF(Questions!H:H,H478)</f>
        <v>2</v>
      </c>
      <c r="J478" s="38"/>
    </row>
    <row r="479" spans="1:10" ht="22" customHeight="1" x14ac:dyDescent="0.35">
      <c r="A479" s="37" t="s">
        <v>1442</v>
      </c>
      <c r="B479" s="37"/>
      <c r="C479" s="38" t="s">
        <v>57</v>
      </c>
      <c r="D479" s="39" t="s">
        <v>1439</v>
      </c>
      <c r="E479" s="39">
        <f>COUNTIF(Questions!D:D,D479)</f>
        <v>2</v>
      </c>
      <c r="F479" s="39" t="s">
        <v>1443</v>
      </c>
      <c r="G479" s="39" t="s">
        <v>2121</v>
      </c>
      <c r="H479" s="39" t="s">
        <v>1441</v>
      </c>
      <c r="I479" s="39">
        <f>COUNTIF(Questions!H:H,H479)</f>
        <v>2</v>
      </c>
      <c r="J479" s="38"/>
    </row>
    <row r="480" spans="1:10" ht="22" customHeight="1" x14ac:dyDescent="0.35">
      <c r="A480" s="13" t="s">
        <v>1444</v>
      </c>
      <c r="B480" s="13"/>
      <c r="C480" s="14" t="s">
        <v>79</v>
      </c>
      <c r="D480" s="15" t="s">
        <v>1445</v>
      </c>
      <c r="E480" s="15">
        <f>COUNTIF(Questions!D:D,D480)</f>
        <v>2</v>
      </c>
      <c r="F480" s="15" t="s">
        <v>1446</v>
      </c>
      <c r="G480" s="15" t="s">
        <v>2043</v>
      </c>
      <c r="H480" s="15" t="s">
        <v>1447</v>
      </c>
      <c r="I480" s="15">
        <f>COUNTIF(Questions!H:H,H480)</f>
        <v>2</v>
      </c>
      <c r="J480" s="14"/>
    </row>
    <row r="481" spans="1:10" ht="22" customHeight="1" x14ac:dyDescent="0.35">
      <c r="A481" s="13" t="s">
        <v>1448</v>
      </c>
      <c r="B481" s="13"/>
      <c r="C481" s="14" t="s">
        <v>79</v>
      </c>
      <c r="D481" s="15" t="s">
        <v>1445</v>
      </c>
      <c r="E481" s="15">
        <f>COUNTIF(Questions!D:D,D481)</f>
        <v>2</v>
      </c>
      <c r="F481" s="15" t="s">
        <v>1449</v>
      </c>
      <c r="G481" s="15" t="s">
        <v>2043</v>
      </c>
      <c r="H481" s="15" t="s">
        <v>1447</v>
      </c>
      <c r="I481" s="15">
        <f>COUNTIF(Questions!H:H,H481)</f>
        <v>2</v>
      </c>
      <c r="J481" s="14"/>
    </row>
    <row r="482" spans="1:10" ht="22" customHeight="1" x14ac:dyDescent="0.35">
      <c r="A482" s="43" t="s">
        <v>1450</v>
      </c>
      <c r="B482" s="43"/>
      <c r="C482" s="44" t="s">
        <v>8</v>
      </c>
      <c r="D482" s="45" t="s">
        <v>1451</v>
      </c>
      <c r="E482" s="45">
        <f>COUNTIF(Questions!D:D,D482)</f>
        <v>2</v>
      </c>
      <c r="F482" s="45" t="s">
        <v>1452</v>
      </c>
      <c r="G482" s="45" t="s">
        <v>11</v>
      </c>
      <c r="H482" s="45" t="s">
        <v>1451</v>
      </c>
      <c r="I482" s="45">
        <f>COUNTIF(Questions!H:H,H482)</f>
        <v>2</v>
      </c>
      <c r="J482" s="44"/>
    </row>
    <row r="483" spans="1:10" ht="22" customHeight="1" x14ac:dyDescent="0.35">
      <c r="A483" s="43" t="s">
        <v>1453</v>
      </c>
      <c r="B483" s="43"/>
      <c r="C483" s="44" t="s">
        <v>8</v>
      </c>
      <c r="D483" s="45" t="s">
        <v>1451</v>
      </c>
      <c r="E483" s="45">
        <f>COUNTIF(Questions!D:D,D483)</f>
        <v>2</v>
      </c>
      <c r="F483" s="45" t="s">
        <v>1454</v>
      </c>
      <c r="G483" s="45" t="s">
        <v>11</v>
      </c>
      <c r="H483" s="45" t="s">
        <v>1451</v>
      </c>
      <c r="I483" s="45">
        <f>COUNTIF(Questions!H:H,H483)</f>
        <v>2</v>
      </c>
      <c r="J483" s="44" t="s">
        <v>484</v>
      </c>
    </row>
    <row r="484" spans="1:10" ht="22" customHeight="1" x14ac:dyDescent="0.35">
      <c r="A484" s="6" t="s">
        <v>1455</v>
      </c>
      <c r="B484" s="6"/>
      <c r="C484" s="7" t="s">
        <v>50</v>
      </c>
      <c r="D484" s="8" t="s">
        <v>1456</v>
      </c>
      <c r="E484" s="8">
        <f>COUNTIF(Questions!D:D,D484)</f>
        <v>2</v>
      </c>
      <c r="F484" s="8" t="s">
        <v>1457</v>
      </c>
      <c r="G484" s="8" t="s">
        <v>50</v>
      </c>
      <c r="H484" s="103" t="s">
        <v>2181</v>
      </c>
      <c r="I484" s="8">
        <f>COUNTIF(Questions!H:H,H484)</f>
        <v>2</v>
      </c>
      <c r="J484" s="7"/>
    </row>
    <row r="485" spans="1:10" ht="22" customHeight="1" x14ac:dyDescent="0.35">
      <c r="A485" s="6" t="s">
        <v>1458</v>
      </c>
      <c r="B485" s="6"/>
      <c r="C485" s="7" t="s">
        <v>50</v>
      </c>
      <c r="D485" s="8" t="s">
        <v>1456</v>
      </c>
      <c r="E485" s="8">
        <f>COUNTIF(Questions!D:D,D485)</f>
        <v>2</v>
      </c>
      <c r="F485" s="8" t="s">
        <v>1459</v>
      </c>
      <c r="G485" s="8" t="s">
        <v>50</v>
      </c>
      <c r="H485" s="103" t="s">
        <v>2181</v>
      </c>
      <c r="I485" s="8">
        <f>COUNTIF(Questions!H:H,H485)</f>
        <v>2</v>
      </c>
      <c r="J485" s="7"/>
    </row>
    <row r="486" spans="1:10" ht="22" customHeight="1" x14ac:dyDescent="0.35">
      <c r="A486" s="22" t="s">
        <v>1460</v>
      </c>
      <c r="B486" s="22"/>
      <c r="C486" s="23" t="s">
        <v>16</v>
      </c>
      <c r="D486" s="24" t="s">
        <v>1461</v>
      </c>
      <c r="E486" s="24">
        <f>COUNTIF(Questions!D:D,D486)</f>
        <v>2</v>
      </c>
      <c r="F486" s="24" t="s">
        <v>1462</v>
      </c>
      <c r="G486" s="24" t="s">
        <v>19</v>
      </c>
      <c r="H486" s="24" t="s">
        <v>1463</v>
      </c>
      <c r="I486" s="24">
        <f>COUNTIF(Questions!H:H,H486)</f>
        <v>2</v>
      </c>
      <c r="J486" s="23"/>
    </row>
    <row r="487" spans="1:10" ht="22" customHeight="1" x14ac:dyDescent="0.35">
      <c r="A487" s="22" t="s">
        <v>1464</v>
      </c>
      <c r="B487" s="22"/>
      <c r="C487" s="23" t="s">
        <v>16</v>
      </c>
      <c r="D487" s="24" t="s">
        <v>1461</v>
      </c>
      <c r="E487" s="24">
        <f>COUNTIF(Questions!D:D,D487)</f>
        <v>2</v>
      </c>
      <c r="F487" s="24" t="s">
        <v>1465</v>
      </c>
      <c r="G487" s="24" t="s">
        <v>19</v>
      </c>
      <c r="H487" s="24" t="s">
        <v>1463</v>
      </c>
      <c r="I487" s="24">
        <f>COUNTIF(Questions!H:H,H487)</f>
        <v>2</v>
      </c>
      <c r="J487" s="23"/>
    </row>
    <row r="488" spans="1:10" ht="22" customHeight="1" x14ac:dyDescent="0.35">
      <c r="A488" s="52" t="s">
        <v>1466</v>
      </c>
      <c r="B488" s="52"/>
      <c r="C488" s="53" t="s">
        <v>92</v>
      </c>
      <c r="D488" s="54" t="s">
        <v>1467</v>
      </c>
      <c r="E488" s="54">
        <f>COUNTIF(Questions!D:D,D488)</f>
        <v>2</v>
      </c>
      <c r="F488" s="54" t="s">
        <v>1468</v>
      </c>
      <c r="G488" s="54" t="s">
        <v>2125</v>
      </c>
      <c r="H488" s="54" t="s">
        <v>1469</v>
      </c>
      <c r="I488" s="54">
        <f>COUNTIF(Questions!H:H,H488)</f>
        <v>2</v>
      </c>
      <c r="J488" s="53"/>
    </row>
    <row r="489" spans="1:10" ht="22" customHeight="1" x14ac:dyDescent="0.35">
      <c r="A489" s="52" t="s">
        <v>1470</v>
      </c>
      <c r="B489" s="52"/>
      <c r="C489" s="53" t="s">
        <v>92</v>
      </c>
      <c r="D489" s="54" t="s">
        <v>1467</v>
      </c>
      <c r="E489" s="54">
        <f>COUNTIF(Questions!D:D,D489)</f>
        <v>2</v>
      </c>
      <c r="F489" s="54" t="s">
        <v>1471</v>
      </c>
      <c r="G489" s="54" t="s">
        <v>2125</v>
      </c>
      <c r="H489" s="54" t="s">
        <v>1469</v>
      </c>
      <c r="I489" s="54">
        <f>COUNTIF(Questions!H:H,H489)</f>
        <v>2</v>
      </c>
      <c r="J489" s="53" t="s">
        <v>1472</v>
      </c>
    </row>
    <row r="490" spans="1:10" ht="22" customHeight="1" x14ac:dyDescent="0.35">
      <c r="A490" s="52" t="s">
        <v>1473</v>
      </c>
      <c r="B490" s="52"/>
      <c r="C490" s="53" t="s">
        <v>92</v>
      </c>
      <c r="D490" s="54" t="s">
        <v>1474</v>
      </c>
      <c r="E490" s="54">
        <f>COUNTIF(Questions!D:D,D490)</f>
        <v>2</v>
      </c>
      <c r="F490" s="54" t="s">
        <v>1475</v>
      </c>
      <c r="G490" s="54" t="s">
        <v>2125</v>
      </c>
      <c r="H490" s="54" t="s">
        <v>1476</v>
      </c>
      <c r="I490" s="54">
        <f>COUNTIF(Questions!H:H,H490)</f>
        <v>2</v>
      </c>
      <c r="J490" s="53"/>
    </row>
    <row r="491" spans="1:10" ht="22" customHeight="1" x14ac:dyDescent="0.35">
      <c r="A491" s="52" t="s">
        <v>1477</v>
      </c>
      <c r="B491" s="52"/>
      <c r="C491" s="53" t="s">
        <v>92</v>
      </c>
      <c r="D491" s="54" t="s">
        <v>1474</v>
      </c>
      <c r="E491" s="54">
        <f>COUNTIF(Questions!D:D,D491)</f>
        <v>2</v>
      </c>
      <c r="F491" s="54" t="s">
        <v>1478</v>
      </c>
      <c r="G491" s="54" t="s">
        <v>2125</v>
      </c>
      <c r="H491" s="54" t="s">
        <v>1476</v>
      </c>
      <c r="I491" s="54">
        <f>COUNTIF(Questions!H:H,H491)</f>
        <v>2</v>
      </c>
      <c r="J491" s="53"/>
    </row>
    <row r="492" spans="1:10" ht="22" customHeight="1" x14ac:dyDescent="0.35">
      <c r="A492" s="46" t="s">
        <v>1479</v>
      </c>
      <c r="B492" s="46"/>
      <c r="C492" s="47" t="s">
        <v>24</v>
      </c>
      <c r="D492" s="48" t="s">
        <v>1480</v>
      </c>
      <c r="E492" s="48">
        <f>COUNTIF(Questions!D:D,D492)</f>
        <v>2</v>
      </c>
      <c r="F492" s="48" t="s">
        <v>1481</v>
      </c>
      <c r="G492" s="48" t="s">
        <v>27</v>
      </c>
      <c r="H492" s="48" t="s">
        <v>1482</v>
      </c>
      <c r="I492" s="48">
        <f>COUNTIF(Questions!H:H,H492)</f>
        <v>2</v>
      </c>
      <c r="J492" s="47"/>
    </row>
    <row r="493" spans="1:10" ht="22" customHeight="1" x14ac:dyDescent="0.35">
      <c r="A493" s="46" t="s">
        <v>1483</v>
      </c>
      <c r="B493" s="46"/>
      <c r="C493" s="47" t="s">
        <v>24</v>
      </c>
      <c r="D493" s="48" t="s">
        <v>1480</v>
      </c>
      <c r="E493" s="48">
        <f>COUNTIF(Questions!D:D,D493)</f>
        <v>2</v>
      </c>
      <c r="F493" s="48" t="s">
        <v>1484</v>
      </c>
      <c r="G493" s="48" t="s">
        <v>27</v>
      </c>
      <c r="H493" s="48" t="s">
        <v>1482</v>
      </c>
      <c r="I493" s="48">
        <f>COUNTIF(Questions!H:H,H493)</f>
        <v>2</v>
      </c>
      <c r="J493" s="47"/>
    </row>
    <row r="494" spans="1:10" ht="22" customHeight="1" x14ac:dyDescent="0.35">
      <c r="A494" s="49" t="s">
        <v>1485</v>
      </c>
      <c r="B494" s="49"/>
      <c r="C494" s="50" t="s">
        <v>72</v>
      </c>
      <c r="D494" s="51" t="s">
        <v>1486</v>
      </c>
      <c r="E494" s="51">
        <f>COUNTIF(Questions!D:D,D494)</f>
        <v>2</v>
      </c>
      <c r="F494" s="51" t="s">
        <v>1487</v>
      </c>
      <c r="G494" s="51" t="s">
        <v>2120</v>
      </c>
      <c r="H494" s="51" t="s">
        <v>1488</v>
      </c>
      <c r="I494" s="51">
        <f>COUNTIF(Questions!H:H,H494)</f>
        <v>2</v>
      </c>
      <c r="J494" s="50"/>
    </row>
    <row r="495" spans="1:10" ht="22" customHeight="1" x14ac:dyDescent="0.35">
      <c r="A495" s="49" t="s">
        <v>1489</v>
      </c>
      <c r="B495" s="49"/>
      <c r="C495" s="50" t="s">
        <v>72</v>
      </c>
      <c r="D495" s="51" t="s">
        <v>1486</v>
      </c>
      <c r="E495" s="51">
        <f>COUNTIF(Questions!D:D,D495)</f>
        <v>2</v>
      </c>
      <c r="F495" s="51" t="s">
        <v>1490</v>
      </c>
      <c r="G495" s="51" t="s">
        <v>2120</v>
      </c>
      <c r="H495" s="51" t="s">
        <v>1488</v>
      </c>
      <c r="I495" s="51">
        <f>COUNTIF(Questions!H:H,H495)</f>
        <v>2</v>
      </c>
      <c r="J495" s="50"/>
    </row>
    <row r="496" spans="1:10" ht="22" customHeight="1" x14ac:dyDescent="0.35">
      <c r="A496" s="25" t="s">
        <v>1491</v>
      </c>
      <c r="B496" s="25"/>
      <c r="C496" s="26" t="s">
        <v>50</v>
      </c>
      <c r="D496" s="27" t="s">
        <v>1492</v>
      </c>
      <c r="E496" s="27">
        <f>COUNTIF(Questions!D:D,D496)</f>
        <v>2</v>
      </c>
      <c r="F496" s="27" t="s">
        <v>1493</v>
      </c>
      <c r="G496" s="27" t="s">
        <v>50</v>
      </c>
      <c r="H496" s="27" t="s">
        <v>1494</v>
      </c>
      <c r="I496" s="27">
        <f>COUNTIF(Questions!H:H,H496)</f>
        <v>2</v>
      </c>
      <c r="J496" s="26"/>
    </row>
    <row r="497" spans="1:10" ht="22" customHeight="1" x14ac:dyDescent="0.35">
      <c r="A497" s="25" t="s">
        <v>1495</v>
      </c>
      <c r="B497" s="25"/>
      <c r="C497" s="26" t="s">
        <v>50</v>
      </c>
      <c r="D497" s="27" t="s">
        <v>1492</v>
      </c>
      <c r="E497" s="27">
        <f>COUNTIF(Questions!D:D,D497)</f>
        <v>2</v>
      </c>
      <c r="F497" s="27" t="s">
        <v>1496</v>
      </c>
      <c r="G497" s="27" t="s">
        <v>50</v>
      </c>
      <c r="H497" s="27" t="s">
        <v>1494</v>
      </c>
      <c r="I497" s="27">
        <f>COUNTIF(Questions!H:H,H497)</f>
        <v>2</v>
      </c>
      <c r="J497" s="26"/>
    </row>
    <row r="498" spans="1:10" ht="22" customHeight="1" x14ac:dyDescent="0.35">
      <c r="A498" s="43" t="s">
        <v>1497</v>
      </c>
      <c r="B498" s="43"/>
      <c r="C498" s="44" t="s">
        <v>8</v>
      </c>
      <c r="D498" s="45" t="s">
        <v>1498</v>
      </c>
      <c r="E498" s="45">
        <f>COUNTIF(Questions!D:D,D498)</f>
        <v>2</v>
      </c>
      <c r="F498" s="45" t="s">
        <v>1499</v>
      </c>
      <c r="G498" s="45" t="s">
        <v>11</v>
      </c>
      <c r="H498" s="45" t="s">
        <v>1500</v>
      </c>
      <c r="I498" s="45">
        <f>COUNTIF(Questions!H:H,H498)</f>
        <v>2</v>
      </c>
      <c r="J498" s="44"/>
    </row>
    <row r="499" spans="1:10" ht="22" customHeight="1" x14ac:dyDescent="0.35">
      <c r="A499" s="43" t="s">
        <v>1501</v>
      </c>
      <c r="B499" s="43"/>
      <c r="C499" s="44" t="s">
        <v>8</v>
      </c>
      <c r="D499" s="45" t="s">
        <v>1498</v>
      </c>
      <c r="E499" s="45">
        <f>COUNTIF(Questions!D:D,D499)</f>
        <v>2</v>
      </c>
      <c r="F499" s="45" t="s">
        <v>1502</v>
      </c>
      <c r="G499" s="45" t="s">
        <v>11</v>
      </c>
      <c r="H499" s="45" t="s">
        <v>1500</v>
      </c>
      <c r="I499" s="45">
        <f>COUNTIF(Questions!H:H,H499)</f>
        <v>2</v>
      </c>
      <c r="J499" s="44"/>
    </row>
    <row r="500" spans="1:10" ht="22" customHeight="1" x14ac:dyDescent="0.35">
      <c r="A500" s="34" t="s">
        <v>1503</v>
      </c>
      <c r="B500" s="34"/>
      <c r="C500" s="35" t="s">
        <v>72</v>
      </c>
      <c r="D500" s="51" t="s">
        <v>1504</v>
      </c>
      <c r="E500" s="36">
        <f>COUNTIF(Questions!D:D,D500)</f>
        <v>2</v>
      </c>
      <c r="F500" s="36" t="s">
        <v>1505</v>
      </c>
      <c r="G500" s="36" t="s">
        <v>2120</v>
      </c>
      <c r="H500" s="36" t="s">
        <v>1506</v>
      </c>
      <c r="I500" s="36">
        <f>COUNTIF(Questions!H:H,H500)</f>
        <v>2</v>
      </c>
      <c r="J500" s="35"/>
    </row>
    <row r="501" spans="1:10" ht="22" customHeight="1" x14ac:dyDescent="0.35">
      <c r="A501" s="34" t="s">
        <v>1507</v>
      </c>
      <c r="B501" s="34"/>
      <c r="C501" s="35" t="s">
        <v>72</v>
      </c>
      <c r="D501" s="51" t="s">
        <v>1504</v>
      </c>
      <c r="E501" s="36">
        <f>COUNTIF(Questions!D:D,D501)</f>
        <v>2</v>
      </c>
      <c r="F501" s="36" t="s">
        <v>1508</v>
      </c>
      <c r="G501" s="36" t="s">
        <v>2120</v>
      </c>
      <c r="H501" s="36" t="s">
        <v>1506</v>
      </c>
      <c r="I501" s="36">
        <f>COUNTIF(Questions!H:H,H501)</f>
        <v>2</v>
      </c>
      <c r="J501" s="35"/>
    </row>
    <row r="502" spans="1:10" ht="22" customHeight="1" x14ac:dyDescent="0.35">
      <c r="A502" s="52" t="s">
        <v>1509</v>
      </c>
      <c r="B502" s="52"/>
      <c r="C502" s="53" t="s">
        <v>92</v>
      </c>
      <c r="D502" s="54" t="s">
        <v>1510</v>
      </c>
      <c r="E502" s="54">
        <f>COUNTIF(Questions!D:D,D502)</f>
        <v>2</v>
      </c>
      <c r="F502" s="54" t="s">
        <v>1511</v>
      </c>
      <c r="G502" s="54" t="s">
        <v>2125</v>
      </c>
      <c r="H502" s="54" t="s">
        <v>1512</v>
      </c>
      <c r="I502" s="54">
        <f>COUNTIF(Questions!H:H,H502)</f>
        <v>2</v>
      </c>
      <c r="J502" s="53"/>
    </row>
    <row r="503" spans="1:10" ht="22" customHeight="1" x14ac:dyDescent="0.35">
      <c r="A503" s="52" t="s">
        <v>1513</v>
      </c>
      <c r="B503" s="52"/>
      <c r="C503" s="53" t="s">
        <v>92</v>
      </c>
      <c r="D503" s="54" t="s">
        <v>1514</v>
      </c>
      <c r="E503" s="54">
        <f>COUNTIF(Questions!D:D,D503)</f>
        <v>2</v>
      </c>
      <c r="F503" s="54" t="s">
        <v>1515</v>
      </c>
      <c r="G503" s="54" t="s">
        <v>2125</v>
      </c>
      <c r="H503" s="54" t="s">
        <v>1516</v>
      </c>
      <c r="I503" s="54">
        <f>COUNTIF(Questions!H:H,H503)</f>
        <v>2</v>
      </c>
      <c r="J503" s="53"/>
    </row>
    <row r="504" spans="1:10" ht="22" customHeight="1" x14ac:dyDescent="0.35">
      <c r="A504" s="52" t="s">
        <v>1517</v>
      </c>
      <c r="B504" s="52"/>
      <c r="C504" s="53" t="s">
        <v>92</v>
      </c>
      <c r="D504" s="54" t="s">
        <v>1514</v>
      </c>
      <c r="E504" s="54">
        <f>COUNTIF(Questions!D:D,D504)</f>
        <v>2</v>
      </c>
      <c r="F504" s="54" t="s">
        <v>1518</v>
      </c>
      <c r="G504" s="54" t="s">
        <v>2125</v>
      </c>
      <c r="H504" s="54" t="s">
        <v>1516</v>
      </c>
      <c r="I504" s="54">
        <f>COUNTIF(Questions!H:H,H504)</f>
        <v>2</v>
      </c>
      <c r="J504" s="53"/>
    </row>
    <row r="505" spans="1:10" ht="22" customHeight="1" x14ac:dyDescent="0.35">
      <c r="A505" s="52" t="s">
        <v>1519</v>
      </c>
      <c r="B505" s="52"/>
      <c r="C505" s="53" t="s">
        <v>92</v>
      </c>
      <c r="D505" s="54" t="s">
        <v>1510</v>
      </c>
      <c r="E505" s="54">
        <f>COUNTIF(Questions!D:D,D505)</f>
        <v>2</v>
      </c>
      <c r="F505" s="54" t="s">
        <v>1520</v>
      </c>
      <c r="G505" s="54" t="s">
        <v>2125</v>
      </c>
      <c r="H505" s="54" t="s">
        <v>1512</v>
      </c>
      <c r="I505" s="54">
        <f>COUNTIF(Questions!H:H,H505)</f>
        <v>2</v>
      </c>
      <c r="J505" s="53"/>
    </row>
    <row r="506" spans="1:10" ht="22" customHeight="1" x14ac:dyDescent="0.35">
      <c r="A506" s="52" t="s">
        <v>1521</v>
      </c>
      <c r="B506" s="52"/>
      <c r="C506" s="53" t="s">
        <v>92</v>
      </c>
      <c r="D506" s="54" t="s">
        <v>1522</v>
      </c>
      <c r="E506" s="54">
        <f>COUNTIF(Questions!D:D,D506)</f>
        <v>2</v>
      </c>
      <c r="F506" s="54" t="s">
        <v>1523</v>
      </c>
      <c r="G506" s="54" t="s">
        <v>2125</v>
      </c>
      <c r="H506" s="54" t="s">
        <v>1524</v>
      </c>
      <c r="I506" s="54">
        <f>COUNTIF(Questions!H:H,H506)</f>
        <v>2</v>
      </c>
      <c r="J506" s="53"/>
    </row>
    <row r="507" spans="1:10" ht="22" customHeight="1" x14ac:dyDescent="0.35">
      <c r="A507" s="52" t="s">
        <v>1525</v>
      </c>
      <c r="B507" s="52"/>
      <c r="C507" s="53" t="s">
        <v>92</v>
      </c>
      <c r="D507" s="54" t="s">
        <v>1522</v>
      </c>
      <c r="E507" s="54">
        <f>COUNTIF(Questions!D:D,D507)</f>
        <v>2</v>
      </c>
      <c r="F507" s="54" t="s">
        <v>1526</v>
      </c>
      <c r="G507" s="54" t="s">
        <v>2125</v>
      </c>
      <c r="H507" s="54" t="s">
        <v>1524</v>
      </c>
      <c r="I507" s="54">
        <f>COUNTIF(Questions!H:H,H507)</f>
        <v>2</v>
      </c>
      <c r="J507" s="53" t="s">
        <v>484</v>
      </c>
    </row>
    <row r="508" spans="1:10" ht="22" customHeight="1" x14ac:dyDescent="0.35">
      <c r="A508" s="19" t="s">
        <v>1527</v>
      </c>
      <c r="B508" s="19"/>
      <c r="C508" s="20" t="s">
        <v>64</v>
      </c>
      <c r="D508" s="21" t="s">
        <v>1528</v>
      </c>
      <c r="E508" s="21">
        <f>COUNTIF(Questions!D:D,D508)</f>
        <v>2</v>
      </c>
      <c r="F508" s="21" t="s">
        <v>1529</v>
      </c>
      <c r="G508" s="21" t="s">
        <v>67</v>
      </c>
      <c r="H508" s="21" t="s">
        <v>1530</v>
      </c>
      <c r="I508" s="21">
        <f>COUNTIF(Questions!H:H,H508)</f>
        <v>2</v>
      </c>
      <c r="J508" s="20"/>
    </row>
    <row r="509" spans="1:10" ht="22" customHeight="1" x14ac:dyDescent="0.35">
      <c r="A509" s="19" t="s">
        <v>1531</v>
      </c>
      <c r="B509" s="19"/>
      <c r="C509" s="20" t="s">
        <v>64</v>
      </c>
      <c r="D509" s="21" t="s">
        <v>1528</v>
      </c>
      <c r="E509" s="21">
        <f>COUNTIF(Questions!D:D,D509)</f>
        <v>2</v>
      </c>
      <c r="F509" s="21" t="s">
        <v>1532</v>
      </c>
      <c r="G509" s="21" t="s">
        <v>67</v>
      </c>
      <c r="H509" s="21" t="s">
        <v>1530</v>
      </c>
      <c r="I509" s="21">
        <f>COUNTIF(Questions!H:H,H509)</f>
        <v>2</v>
      </c>
      <c r="J509" s="20"/>
    </row>
    <row r="510" spans="1:10" ht="22" customHeight="1" x14ac:dyDescent="0.35">
      <c r="A510" s="22" t="s">
        <v>1533</v>
      </c>
      <c r="B510" s="22"/>
      <c r="C510" s="23" t="s">
        <v>16</v>
      </c>
      <c r="D510" s="24" t="s">
        <v>1534</v>
      </c>
      <c r="E510" s="24">
        <f>COUNTIF(Questions!D:D,D510)</f>
        <v>2</v>
      </c>
      <c r="F510" s="24" t="s">
        <v>1535</v>
      </c>
      <c r="G510" s="24" t="s">
        <v>19</v>
      </c>
      <c r="H510" s="24" t="s">
        <v>1536</v>
      </c>
      <c r="I510" s="24">
        <f>COUNTIF(Questions!H:H,H510)</f>
        <v>2</v>
      </c>
      <c r="J510" s="23"/>
    </row>
    <row r="511" spans="1:10" ht="22" customHeight="1" x14ac:dyDescent="0.35">
      <c r="A511" s="22" t="s">
        <v>1537</v>
      </c>
      <c r="B511" s="22"/>
      <c r="C511" s="23" t="s">
        <v>16</v>
      </c>
      <c r="D511" s="24" t="s">
        <v>1534</v>
      </c>
      <c r="E511" s="24">
        <f>COUNTIF(Questions!D:D,D511)</f>
        <v>2</v>
      </c>
      <c r="F511" s="24" t="s">
        <v>1538</v>
      </c>
      <c r="G511" s="24" t="s">
        <v>19</v>
      </c>
      <c r="H511" s="24" t="s">
        <v>1536</v>
      </c>
      <c r="I511" s="24">
        <f>COUNTIF(Questions!H:H,H511)</f>
        <v>2</v>
      </c>
      <c r="J511" s="23"/>
    </row>
    <row r="512" spans="1:10" ht="22" customHeight="1" x14ac:dyDescent="0.35">
      <c r="A512" s="19" t="s">
        <v>1539</v>
      </c>
      <c r="B512" s="19"/>
      <c r="C512" s="20" t="s">
        <v>64</v>
      </c>
      <c r="D512" s="21" t="s">
        <v>1540</v>
      </c>
      <c r="E512" s="21">
        <f>COUNTIF(Questions!D:D,D512)</f>
        <v>2</v>
      </c>
      <c r="F512" s="21" t="s">
        <v>1541</v>
      </c>
      <c r="G512" s="21" t="s">
        <v>67</v>
      </c>
      <c r="H512" s="21" t="s">
        <v>1542</v>
      </c>
      <c r="I512" s="21">
        <f>COUNTIF(Questions!H:H,H512)</f>
        <v>2</v>
      </c>
      <c r="J512" s="20"/>
    </row>
    <row r="513" spans="1:10" ht="22" customHeight="1" x14ac:dyDescent="0.35">
      <c r="A513" s="19" t="s">
        <v>1543</v>
      </c>
      <c r="B513" s="19"/>
      <c r="C513" s="20" t="s">
        <v>64</v>
      </c>
      <c r="D513" s="21" t="s">
        <v>1544</v>
      </c>
      <c r="E513" s="21">
        <f>COUNTIF(Questions!D:D,D513)</f>
        <v>2</v>
      </c>
      <c r="F513" s="21" t="s">
        <v>1545</v>
      </c>
      <c r="G513" s="21" t="s">
        <v>67</v>
      </c>
      <c r="H513" s="21" t="s">
        <v>1546</v>
      </c>
      <c r="I513" s="21">
        <f>COUNTIF(Questions!H:H,H513)</f>
        <v>2</v>
      </c>
      <c r="J513" s="20"/>
    </row>
    <row r="514" spans="1:10" ht="22" customHeight="1" x14ac:dyDescent="0.35">
      <c r="A514" s="19" t="s">
        <v>1547</v>
      </c>
      <c r="B514" s="19"/>
      <c r="C514" s="20" t="s">
        <v>64</v>
      </c>
      <c r="D514" s="21" t="s">
        <v>1544</v>
      </c>
      <c r="E514" s="21">
        <f>COUNTIF(Questions!D:D,D514)</f>
        <v>2</v>
      </c>
      <c r="F514" s="21" t="s">
        <v>1548</v>
      </c>
      <c r="G514" s="21" t="s">
        <v>67</v>
      </c>
      <c r="H514" s="21" t="s">
        <v>1546</v>
      </c>
      <c r="I514" s="21">
        <f>COUNTIF(Questions!H:H,H514)</f>
        <v>2</v>
      </c>
      <c r="J514" s="20"/>
    </row>
    <row r="515" spans="1:10" ht="22" customHeight="1" x14ac:dyDescent="0.35">
      <c r="A515" s="19" t="s">
        <v>1549</v>
      </c>
      <c r="B515" s="19"/>
      <c r="C515" s="20" t="s">
        <v>64</v>
      </c>
      <c r="D515" s="21" t="s">
        <v>1540</v>
      </c>
      <c r="E515" s="21">
        <f>COUNTIF(Questions!D:D,D515)</f>
        <v>2</v>
      </c>
      <c r="F515" s="21" t="s">
        <v>1550</v>
      </c>
      <c r="G515" s="21" t="s">
        <v>67</v>
      </c>
      <c r="H515" s="21" t="s">
        <v>1542</v>
      </c>
      <c r="I515" s="21">
        <f>COUNTIF(Questions!H:H,H515)</f>
        <v>2</v>
      </c>
      <c r="J515" s="20" t="s">
        <v>1395</v>
      </c>
    </row>
    <row r="516" spans="1:10" ht="22" customHeight="1" x14ac:dyDescent="0.35">
      <c r="A516" s="28" t="s">
        <v>1551</v>
      </c>
      <c r="B516" s="28"/>
      <c r="C516" s="29" t="s">
        <v>176</v>
      </c>
      <c r="D516" s="30" t="s">
        <v>1552</v>
      </c>
      <c r="E516" s="30">
        <f>COUNTIF(Questions!D:D,D516)</f>
        <v>2</v>
      </c>
      <c r="F516" s="30" t="s">
        <v>1553</v>
      </c>
      <c r="G516" s="30" t="s">
        <v>179</v>
      </c>
      <c r="H516" s="30" t="s">
        <v>1554</v>
      </c>
      <c r="I516" s="30">
        <f>COUNTIF(Questions!H:H,H516)</f>
        <v>2</v>
      </c>
      <c r="J516" s="29"/>
    </row>
    <row r="517" spans="1:10" ht="22" customHeight="1" x14ac:dyDescent="0.35">
      <c r="A517" s="28" t="s">
        <v>1555</v>
      </c>
      <c r="B517" s="28"/>
      <c r="C517" s="29" t="s">
        <v>176</v>
      </c>
      <c r="D517" s="30" t="s">
        <v>1552</v>
      </c>
      <c r="E517" s="30">
        <f>COUNTIF(Questions!D:D,D517)</f>
        <v>2</v>
      </c>
      <c r="F517" s="30" t="s">
        <v>1556</v>
      </c>
      <c r="G517" s="30" t="s">
        <v>179</v>
      </c>
      <c r="H517" s="30" t="s">
        <v>1554</v>
      </c>
      <c r="I517" s="30">
        <f>COUNTIF(Questions!H:H,H517)</f>
        <v>2</v>
      </c>
      <c r="J517" s="29"/>
    </row>
    <row r="518" spans="1:10" ht="22" customHeight="1" x14ac:dyDescent="0.35">
      <c r="A518" s="52" t="s">
        <v>1557</v>
      </c>
      <c r="B518" s="52"/>
      <c r="C518" s="53" t="s">
        <v>92</v>
      </c>
      <c r="D518" s="54" t="s">
        <v>1558</v>
      </c>
      <c r="E518" s="54">
        <f>COUNTIF(Questions!D:D,D518)</f>
        <v>2</v>
      </c>
      <c r="F518" s="54" t="s">
        <v>1559</v>
      </c>
      <c r="G518" s="54" t="s">
        <v>2125</v>
      </c>
      <c r="H518" s="54" t="s">
        <v>1560</v>
      </c>
      <c r="I518" s="54">
        <f>COUNTIF(Questions!H:H,H518)</f>
        <v>2</v>
      </c>
      <c r="J518" s="53"/>
    </row>
    <row r="519" spans="1:10" ht="22" customHeight="1" x14ac:dyDescent="0.35">
      <c r="A519" s="52" t="s">
        <v>1561</v>
      </c>
      <c r="B519" s="52"/>
      <c r="C519" s="53" t="s">
        <v>92</v>
      </c>
      <c r="D519" s="54" t="s">
        <v>1558</v>
      </c>
      <c r="E519" s="54">
        <f>COUNTIF(Questions!D:D,D519)</f>
        <v>2</v>
      </c>
      <c r="F519" s="54" t="s">
        <v>1562</v>
      </c>
      <c r="G519" s="54" t="s">
        <v>2125</v>
      </c>
      <c r="H519" s="54" t="s">
        <v>1560</v>
      </c>
      <c r="I519" s="54">
        <f>COUNTIF(Questions!H:H,H519)</f>
        <v>2</v>
      </c>
      <c r="J519" s="53"/>
    </row>
    <row r="520" spans="1:10" ht="22" customHeight="1" x14ac:dyDescent="0.35">
      <c r="A520" s="16" t="s">
        <v>1563</v>
      </c>
      <c r="B520" s="16"/>
      <c r="C520" s="17" t="s">
        <v>190</v>
      </c>
      <c r="D520" s="18" t="s">
        <v>1564</v>
      </c>
      <c r="E520" s="18">
        <f>COUNTIF(Questions!D:D,D520)</f>
        <v>2</v>
      </c>
      <c r="F520" s="18" t="s">
        <v>1565</v>
      </c>
      <c r="G520" s="18" t="s">
        <v>2126</v>
      </c>
      <c r="H520" s="18" t="s">
        <v>1566</v>
      </c>
      <c r="I520" s="18">
        <f>COUNTIF(Questions!H:H,H520)</f>
        <v>2</v>
      </c>
      <c r="J520" s="17"/>
    </row>
    <row r="521" spans="1:10" ht="22" customHeight="1" x14ac:dyDescent="0.35">
      <c r="A521" s="16" t="s">
        <v>1567</v>
      </c>
      <c r="B521" s="16"/>
      <c r="C521" s="17" t="s">
        <v>190</v>
      </c>
      <c r="D521" s="18" t="s">
        <v>1564</v>
      </c>
      <c r="E521" s="18">
        <f>COUNTIF(Questions!D:D,D521)</f>
        <v>2</v>
      </c>
      <c r="F521" s="18" t="s">
        <v>1568</v>
      </c>
      <c r="G521" s="18" t="s">
        <v>2126</v>
      </c>
      <c r="H521" s="18" t="s">
        <v>1566</v>
      </c>
      <c r="I521" s="18">
        <f>COUNTIF(Questions!H:H,H521)</f>
        <v>2</v>
      </c>
      <c r="J521" s="17"/>
    </row>
    <row r="522" spans="1:10" ht="22" customHeight="1" x14ac:dyDescent="0.35">
      <c r="A522" s="22" t="s">
        <v>1569</v>
      </c>
      <c r="B522" s="22"/>
      <c r="C522" s="23" t="s">
        <v>79</v>
      </c>
      <c r="D522" s="24" t="s">
        <v>1570</v>
      </c>
      <c r="E522" s="24">
        <f>COUNTIF(Questions!D:D,D522)</f>
        <v>2</v>
      </c>
      <c r="F522" s="24" t="s">
        <v>1571</v>
      </c>
      <c r="G522" s="24" t="s">
        <v>2043</v>
      </c>
      <c r="H522" s="24" t="s">
        <v>1572</v>
      </c>
      <c r="I522" s="24">
        <f>COUNTIF(Questions!H:H,H522)</f>
        <v>2</v>
      </c>
      <c r="J522" s="23"/>
    </row>
    <row r="523" spans="1:10" ht="22" customHeight="1" x14ac:dyDescent="0.35">
      <c r="A523" s="22" t="s">
        <v>1573</v>
      </c>
      <c r="B523" s="22"/>
      <c r="C523" s="23" t="s">
        <v>79</v>
      </c>
      <c r="D523" s="24" t="s">
        <v>1570</v>
      </c>
      <c r="E523" s="24">
        <f>COUNTIF(Questions!D:D,D523)</f>
        <v>2</v>
      </c>
      <c r="F523" s="24" t="s">
        <v>1574</v>
      </c>
      <c r="G523" s="24" t="s">
        <v>2043</v>
      </c>
      <c r="H523" s="24" t="s">
        <v>1572</v>
      </c>
      <c r="I523" s="24">
        <f>COUNTIF(Questions!H:H,H523)</f>
        <v>2</v>
      </c>
      <c r="J523" s="23"/>
    </row>
    <row r="524" spans="1:10" ht="22" customHeight="1" x14ac:dyDescent="0.35">
      <c r="A524" s="25" t="s">
        <v>1575</v>
      </c>
      <c r="B524" s="25"/>
      <c r="C524" s="26" t="s">
        <v>216</v>
      </c>
      <c r="D524" s="27" t="s">
        <v>1576</v>
      </c>
      <c r="E524" s="27">
        <f>COUNTIF(Questions!D:D,D524)</f>
        <v>2</v>
      </c>
      <c r="F524" s="27" t="s">
        <v>1577</v>
      </c>
      <c r="G524" s="27" t="s">
        <v>2124</v>
      </c>
      <c r="H524" s="27" t="s">
        <v>1576</v>
      </c>
      <c r="I524" s="27">
        <f>COUNTIF(Questions!H:H,H524)</f>
        <v>2</v>
      </c>
      <c r="J524" s="26"/>
    </row>
    <row r="525" spans="1:10" ht="22" customHeight="1" x14ac:dyDescent="0.35">
      <c r="A525" s="25" t="s">
        <v>1578</v>
      </c>
      <c r="B525" s="25"/>
      <c r="C525" s="26" t="s">
        <v>216</v>
      </c>
      <c r="D525" s="27" t="s">
        <v>1576</v>
      </c>
      <c r="E525" s="27">
        <f>COUNTIF(Questions!D:D,D525)</f>
        <v>2</v>
      </c>
      <c r="F525" s="27" t="s">
        <v>1579</v>
      </c>
      <c r="G525" s="27" t="s">
        <v>2124</v>
      </c>
      <c r="H525" s="27" t="s">
        <v>1576</v>
      </c>
      <c r="I525" s="27">
        <f>COUNTIF(Questions!H:H,H525)</f>
        <v>2</v>
      </c>
      <c r="J525" s="26"/>
    </row>
    <row r="526" spans="1:10" ht="22" customHeight="1" x14ac:dyDescent="0.35">
      <c r="A526" s="25" t="s">
        <v>1580</v>
      </c>
      <c r="B526" s="25"/>
      <c r="C526" s="26" t="s">
        <v>72</v>
      </c>
      <c r="D526" s="27" t="s">
        <v>1581</v>
      </c>
      <c r="E526" s="27">
        <f>COUNTIF(Questions!D:D,D526)</f>
        <v>2</v>
      </c>
      <c r="F526" s="27" t="s">
        <v>1582</v>
      </c>
      <c r="G526" s="27" t="s">
        <v>2120</v>
      </c>
      <c r="H526" s="27" t="s">
        <v>1583</v>
      </c>
      <c r="I526" s="27">
        <f>COUNTIF(Questions!H:H,H526)</f>
        <v>2</v>
      </c>
      <c r="J526" s="26"/>
    </row>
    <row r="527" spans="1:10" ht="22" customHeight="1" x14ac:dyDescent="0.35">
      <c r="A527" s="25" t="s">
        <v>1584</v>
      </c>
      <c r="B527" s="25"/>
      <c r="C527" s="26" t="s">
        <v>72</v>
      </c>
      <c r="D527" s="27" t="s">
        <v>1581</v>
      </c>
      <c r="E527" s="27">
        <f>COUNTIF(Questions!D:D,D527)</f>
        <v>2</v>
      </c>
      <c r="F527" s="27" t="s">
        <v>1585</v>
      </c>
      <c r="G527" s="27" t="s">
        <v>2120</v>
      </c>
      <c r="H527" s="27" t="s">
        <v>1583</v>
      </c>
      <c r="I527" s="27">
        <f>COUNTIF(Questions!H:H,H527)</f>
        <v>2</v>
      </c>
      <c r="J527" s="26"/>
    </row>
    <row r="528" spans="1:10" ht="22" customHeight="1" x14ac:dyDescent="0.35">
      <c r="A528" s="46" t="s">
        <v>1586</v>
      </c>
      <c r="B528" s="46"/>
      <c r="C528" s="47" t="s">
        <v>24</v>
      </c>
      <c r="D528" s="48" t="s">
        <v>1587</v>
      </c>
      <c r="E528" s="48">
        <f>COUNTIF(Questions!D:D,D528)</f>
        <v>2</v>
      </c>
      <c r="F528" s="48" t="s">
        <v>1588</v>
      </c>
      <c r="G528" s="48" t="s">
        <v>27</v>
      </c>
      <c r="H528" s="48" t="s">
        <v>1587</v>
      </c>
      <c r="I528" s="48">
        <f>COUNTIF(Questions!H:H,H528)</f>
        <v>2</v>
      </c>
      <c r="J528" s="47"/>
    </row>
    <row r="529" spans="1:10" ht="22" customHeight="1" x14ac:dyDescent="0.35">
      <c r="A529" s="46" t="s">
        <v>1589</v>
      </c>
      <c r="B529" s="46"/>
      <c r="C529" s="47" t="s">
        <v>24</v>
      </c>
      <c r="D529" s="48" t="s">
        <v>1587</v>
      </c>
      <c r="E529" s="48">
        <f>COUNTIF(Questions!D:D,D529)</f>
        <v>2</v>
      </c>
      <c r="F529" s="48" t="s">
        <v>1590</v>
      </c>
      <c r="G529" s="48" t="s">
        <v>27</v>
      </c>
      <c r="H529" s="48" t="s">
        <v>1587</v>
      </c>
      <c r="I529" s="48">
        <f>COUNTIF(Questions!H:H,H529)</f>
        <v>2</v>
      </c>
      <c r="J529" s="47"/>
    </row>
    <row r="530" spans="1:10" ht="22" customHeight="1" x14ac:dyDescent="0.35">
      <c r="A530" s="46" t="s">
        <v>1591</v>
      </c>
      <c r="B530" s="46"/>
      <c r="C530" s="47" t="s">
        <v>16</v>
      </c>
      <c r="D530" s="48" t="s">
        <v>1592</v>
      </c>
      <c r="E530" s="48">
        <f>COUNTIF(Questions!D:D,D530)</f>
        <v>2</v>
      </c>
      <c r="F530" s="48" t="s">
        <v>1593</v>
      </c>
      <c r="G530" s="48" t="s">
        <v>19</v>
      </c>
      <c r="H530" s="48" t="s">
        <v>1594</v>
      </c>
      <c r="I530" s="48">
        <f>COUNTIF(Questions!H:H,H530)</f>
        <v>2</v>
      </c>
      <c r="J530" s="47"/>
    </row>
    <row r="531" spans="1:10" ht="22" customHeight="1" x14ac:dyDescent="0.35">
      <c r="A531" s="46" t="s">
        <v>1595</v>
      </c>
      <c r="B531" s="46"/>
      <c r="C531" s="47" t="s">
        <v>16</v>
      </c>
      <c r="D531" s="48" t="s">
        <v>1592</v>
      </c>
      <c r="E531" s="48">
        <f>COUNTIF(Questions!D:D,D531)</f>
        <v>2</v>
      </c>
      <c r="F531" s="48" t="s">
        <v>1596</v>
      </c>
      <c r="G531" s="48" t="s">
        <v>19</v>
      </c>
      <c r="H531" s="48" t="s">
        <v>1594</v>
      </c>
      <c r="I531" s="48">
        <f>COUNTIF(Questions!H:H,H531)</f>
        <v>2</v>
      </c>
      <c r="J531" s="47">
        <v>23</v>
      </c>
    </row>
    <row r="532" spans="1:10" ht="22" customHeight="1" x14ac:dyDescent="0.35">
      <c r="A532" s="49" t="s">
        <v>1597</v>
      </c>
      <c r="B532" s="49"/>
      <c r="C532" s="50" t="s">
        <v>72</v>
      </c>
      <c r="D532" s="51" t="s">
        <v>1598</v>
      </c>
      <c r="E532" s="51">
        <f>COUNTIF(Questions!D:D,D532)</f>
        <v>2</v>
      </c>
      <c r="F532" s="51" t="s">
        <v>1599</v>
      </c>
      <c r="G532" s="51" t="s">
        <v>2120</v>
      </c>
      <c r="H532" s="51" t="s">
        <v>1600</v>
      </c>
      <c r="I532" s="51">
        <f>COUNTIF(Questions!H:H,H532)</f>
        <v>2</v>
      </c>
      <c r="J532" s="50"/>
    </row>
    <row r="533" spans="1:10" ht="22" customHeight="1" x14ac:dyDescent="0.35">
      <c r="A533" s="49" t="s">
        <v>1601</v>
      </c>
      <c r="B533" s="49"/>
      <c r="C533" s="50" t="s">
        <v>72</v>
      </c>
      <c r="D533" s="51" t="s">
        <v>1598</v>
      </c>
      <c r="E533" s="51">
        <f>COUNTIF(Questions!D:D,D533)</f>
        <v>2</v>
      </c>
      <c r="F533" s="51" t="s">
        <v>1602</v>
      </c>
      <c r="G533" s="51" t="s">
        <v>2120</v>
      </c>
      <c r="H533" s="51" t="s">
        <v>1600</v>
      </c>
      <c r="I533" s="51">
        <f>COUNTIF(Questions!H:H,H533)</f>
        <v>2</v>
      </c>
      <c r="J533" s="50"/>
    </row>
    <row r="534" spans="1:10" ht="22" customHeight="1" x14ac:dyDescent="0.35">
      <c r="A534" s="25" t="s">
        <v>1603</v>
      </c>
      <c r="B534" s="25"/>
      <c r="C534" s="26" t="s">
        <v>216</v>
      </c>
      <c r="D534" s="27" t="s">
        <v>1604</v>
      </c>
      <c r="E534" s="27">
        <f>COUNTIF(Questions!D:D,D534)</f>
        <v>2</v>
      </c>
      <c r="F534" s="27" t="s">
        <v>1605</v>
      </c>
      <c r="G534" s="27" t="s">
        <v>2124</v>
      </c>
      <c r="H534" s="27" t="s">
        <v>1606</v>
      </c>
      <c r="I534" s="27">
        <f>COUNTIF(Questions!H:H,H534)</f>
        <v>2</v>
      </c>
      <c r="J534" s="26"/>
    </row>
    <row r="535" spans="1:10" ht="22" customHeight="1" x14ac:dyDescent="0.35">
      <c r="A535" s="25" t="s">
        <v>1607</v>
      </c>
      <c r="B535" s="25"/>
      <c r="C535" s="26" t="s">
        <v>216</v>
      </c>
      <c r="D535" s="27" t="s">
        <v>1604</v>
      </c>
      <c r="E535" s="27">
        <f>COUNTIF(Questions!D:D,D535)</f>
        <v>2</v>
      </c>
      <c r="F535" s="27" t="s">
        <v>1608</v>
      </c>
      <c r="G535" s="27" t="s">
        <v>2124</v>
      </c>
      <c r="H535" s="27" t="s">
        <v>1606</v>
      </c>
      <c r="I535" s="27">
        <f>COUNTIF(Questions!H:H,H535)</f>
        <v>2</v>
      </c>
      <c r="J535" s="26"/>
    </row>
    <row r="536" spans="1:10" ht="22" customHeight="1" x14ac:dyDescent="0.35">
      <c r="A536" s="25" t="s">
        <v>1609</v>
      </c>
      <c r="B536" s="25"/>
      <c r="C536" s="26" t="s">
        <v>216</v>
      </c>
      <c r="D536" s="27" t="s">
        <v>1610</v>
      </c>
      <c r="E536" s="27">
        <f>COUNTIF(Questions!D:D,D536)</f>
        <v>2</v>
      </c>
      <c r="F536" s="27" t="s">
        <v>1611</v>
      </c>
      <c r="G536" s="27" t="s">
        <v>2124</v>
      </c>
      <c r="H536" s="27" t="s">
        <v>1610</v>
      </c>
      <c r="I536" s="27">
        <f>COUNTIF(Questions!H:H,H536)</f>
        <v>2</v>
      </c>
      <c r="J536" s="26"/>
    </row>
    <row r="537" spans="1:10" ht="22" customHeight="1" x14ac:dyDescent="0.35">
      <c r="A537" s="25" t="s">
        <v>1612</v>
      </c>
      <c r="B537" s="25"/>
      <c r="C537" s="26" t="s">
        <v>216</v>
      </c>
      <c r="D537" s="27" t="s">
        <v>1610</v>
      </c>
      <c r="E537" s="27">
        <f>COUNTIF(Questions!D:D,D537)</f>
        <v>2</v>
      </c>
      <c r="F537" s="27" t="s">
        <v>1613</v>
      </c>
      <c r="G537" s="27" t="s">
        <v>2124</v>
      </c>
      <c r="H537" s="27" t="s">
        <v>1610</v>
      </c>
      <c r="I537" s="27">
        <f>COUNTIF(Questions!H:H,H537)</f>
        <v>2</v>
      </c>
      <c r="J537" s="26"/>
    </row>
    <row r="538" spans="1:10" ht="22" customHeight="1" x14ac:dyDescent="0.35">
      <c r="A538" s="37" t="s">
        <v>1614</v>
      </c>
      <c r="B538" s="37"/>
      <c r="C538" s="38" t="s">
        <v>57</v>
      </c>
      <c r="D538" s="39" t="s">
        <v>1615</v>
      </c>
      <c r="E538" s="39">
        <f>COUNTIF(Questions!D:D,D538)</f>
        <v>2</v>
      </c>
      <c r="F538" s="39" t="s">
        <v>1616</v>
      </c>
      <c r="G538" s="39" t="s">
        <v>2121</v>
      </c>
      <c r="H538" s="39" t="s">
        <v>1617</v>
      </c>
      <c r="I538" s="39">
        <f>COUNTIF(Questions!H:H,H538)</f>
        <v>2</v>
      </c>
      <c r="J538" s="38"/>
    </row>
    <row r="539" spans="1:10" ht="22" customHeight="1" x14ac:dyDescent="0.35">
      <c r="A539" s="37" t="s">
        <v>1618</v>
      </c>
      <c r="B539" s="37"/>
      <c r="C539" s="38" t="s">
        <v>57</v>
      </c>
      <c r="D539" s="39" t="s">
        <v>1615</v>
      </c>
      <c r="E539" s="39">
        <f>COUNTIF(Questions!D:D,D539)</f>
        <v>2</v>
      </c>
      <c r="F539" s="39" t="s">
        <v>1619</v>
      </c>
      <c r="G539" s="39" t="s">
        <v>2121</v>
      </c>
      <c r="H539" s="39" t="s">
        <v>1617</v>
      </c>
      <c r="I539" s="39">
        <f>COUNTIF(Questions!H:H,H539)</f>
        <v>2</v>
      </c>
      <c r="J539" s="38"/>
    </row>
    <row r="540" spans="1:10" ht="22" customHeight="1" x14ac:dyDescent="0.35">
      <c r="A540" s="52" t="s">
        <v>1620</v>
      </c>
      <c r="B540" s="52"/>
      <c r="C540" s="53" t="s">
        <v>92</v>
      </c>
      <c r="D540" s="54" t="s">
        <v>1621</v>
      </c>
      <c r="E540" s="54">
        <f>COUNTIF(Questions!D:D,D540)</f>
        <v>2</v>
      </c>
      <c r="F540" s="54" t="s">
        <v>1622</v>
      </c>
      <c r="G540" s="54" t="s">
        <v>2125</v>
      </c>
      <c r="H540" s="54" t="s">
        <v>1621</v>
      </c>
      <c r="I540" s="54">
        <f>COUNTIF(Questions!H:H,H540)</f>
        <v>2</v>
      </c>
      <c r="J540" s="53"/>
    </row>
    <row r="541" spans="1:10" ht="22" customHeight="1" x14ac:dyDescent="0.35">
      <c r="A541" s="52" t="s">
        <v>1623</v>
      </c>
      <c r="B541" s="52"/>
      <c r="C541" s="53" t="s">
        <v>92</v>
      </c>
      <c r="D541" s="54" t="s">
        <v>1621</v>
      </c>
      <c r="E541" s="54">
        <f>COUNTIF(Questions!D:D,D541)</f>
        <v>2</v>
      </c>
      <c r="F541" s="54" t="s">
        <v>1624</v>
      </c>
      <c r="G541" s="54" t="s">
        <v>2125</v>
      </c>
      <c r="H541" s="54" t="s">
        <v>1621</v>
      </c>
      <c r="I541" s="54">
        <f>COUNTIF(Questions!H:H,H541)</f>
        <v>2</v>
      </c>
      <c r="J541" s="53"/>
    </row>
    <row r="542" spans="1:10" ht="22" customHeight="1" x14ac:dyDescent="0.35">
      <c r="A542" s="19" t="s">
        <v>1625</v>
      </c>
      <c r="B542" s="19"/>
      <c r="C542" s="20" t="s">
        <v>64</v>
      </c>
      <c r="D542" s="21" t="s">
        <v>1626</v>
      </c>
      <c r="E542" s="21">
        <f>COUNTIF(Questions!D:D,D542)</f>
        <v>2</v>
      </c>
      <c r="F542" s="21" t="s">
        <v>1627</v>
      </c>
      <c r="G542" s="21" t="s">
        <v>67</v>
      </c>
      <c r="H542" s="21" t="s">
        <v>1628</v>
      </c>
      <c r="I542" s="21">
        <f>COUNTIF(Questions!H:H,H542)</f>
        <v>2</v>
      </c>
      <c r="J542" s="20"/>
    </row>
    <row r="543" spans="1:10" ht="22" customHeight="1" x14ac:dyDescent="0.35">
      <c r="A543" s="19" t="s">
        <v>1629</v>
      </c>
      <c r="B543" s="19"/>
      <c r="C543" s="20" t="s">
        <v>64</v>
      </c>
      <c r="D543" s="21" t="s">
        <v>1626</v>
      </c>
      <c r="E543" s="21">
        <f>COUNTIF(Questions!D:D,D543)</f>
        <v>2</v>
      </c>
      <c r="F543" s="21" t="s">
        <v>1630</v>
      </c>
      <c r="G543" s="21" t="s">
        <v>67</v>
      </c>
      <c r="H543" s="21" t="s">
        <v>1628</v>
      </c>
      <c r="I543" s="21">
        <f>COUNTIF(Questions!H:H,H543)</f>
        <v>2</v>
      </c>
      <c r="J543" s="20"/>
    </row>
    <row r="544" spans="1:10" ht="22" customHeight="1" x14ac:dyDescent="0.35">
      <c r="A544" s="40" t="s">
        <v>1631</v>
      </c>
      <c r="B544" s="40"/>
      <c r="C544" s="41" t="s">
        <v>145</v>
      </c>
      <c r="D544" s="42" t="s">
        <v>1632</v>
      </c>
      <c r="E544" s="42">
        <f>COUNTIF(Questions!D:D,D544)</f>
        <v>2</v>
      </c>
      <c r="F544" s="42" t="s">
        <v>1633</v>
      </c>
      <c r="G544" s="42" t="s">
        <v>2127</v>
      </c>
      <c r="H544" s="42" t="s">
        <v>1634</v>
      </c>
      <c r="I544" s="42">
        <f>COUNTIF(Questions!H:H,H544)</f>
        <v>2</v>
      </c>
      <c r="J544" s="41"/>
    </row>
    <row r="545" spans="1:10" ht="22" customHeight="1" x14ac:dyDescent="0.35">
      <c r="A545" s="40" t="s">
        <v>1635</v>
      </c>
      <c r="B545" s="40"/>
      <c r="C545" s="41" t="s">
        <v>145</v>
      </c>
      <c r="D545" s="42" t="s">
        <v>1632</v>
      </c>
      <c r="E545" s="42">
        <f>COUNTIF(Questions!D:D,D545)</f>
        <v>2</v>
      </c>
      <c r="F545" s="42" t="s">
        <v>1636</v>
      </c>
      <c r="G545" s="42" t="s">
        <v>2127</v>
      </c>
      <c r="H545" s="42" t="s">
        <v>1634</v>
      </c>
      <c r="I545" s="42">
        <f>COUNTIF(Questions!H:H,H545)</f>
        <v>2</v>
      </c>
      <c r="J545" s="41"/>
    </row>
    <row r="546" spans="1:10" ht="22" customHeight="1" x14ac:dyDescent="0.35">
      <c r="A546" s="43" t="s">
        <v>1637</v>
      </c>
      <c r="B546" s="43"/>
      <c r="C546" s="44" t="s">
        <v>8</v>
      </c>
      <c r="D546" s="45" t="s">
        <v>1638</v>
      </c>
      <c r="E546" s="45">
        <f>COUNTIF(Questions!D:D,D546)</f>
        <v>2</v>
      </c>
      <c r="F546" s="45" t="s">
        <v>1639</v>
      </c>
      <c r="G546" s="45" t="s">
        <v>11</v>
      </c>
      <c r="H546" s="45" t="s">
        <v>1640</v>
      </c>
      <c r="I546" s="45">
        <f>COUNTIF(Questions!H:H,H546)</f>
        <v>2</v>
      </c>
      <c r="J546" s="44"/>
    </row>
    <row r="547" spans="1:10" ht="22" customHeight="1" x14ac:dyDescent="0.35">
      <c r="A547" s="43" t="s">
        <v>1641</v>
      </c>
      <c r="B547" s="43"/>
      <c r="C547" s="44" t="s">
        <v>8</v>
      </c>
      <c r="D547" s="45" t="s">
        <v>1638</v>
      </c>
      <c r="E547" s="45">
        <f>COUNTIF(Questions!D:D,D547)</f>
        <v>2</v>
      </c>
      <c r="F547" s="45" t="s">
        <v>1642</v>
      </c>
      <c r="G547" s="45" t="s">
        <v>11</v>
      </c>
      <c r="H547" s="45" t="s">
        <v>1640</v>
      </c>
      <c r="I547" s="45">
        <f>COUNTIF(Questions!H:H,H547)</f>
        <v>2</v>
      </c>
      <c r="J547" s="44"/>
    </row>
    <row r="548" spans="1:10" ht="22" customHeight="1" x14ac:dyDescent="0.35">
      <c r="A548" s="25" t="s">
        <v>1643</v>
      </c>
      <c r="B548" s="25"/>
      <c r="C548" s="26" t="s">
        <v>216</v>
      </c>
      <c r="D548" s="27" t="s">
        <v>1644</v>
      </c>
      <c r="E548" s="27">
        <f>COUNTIF(Questions!D:D,D548)</f>
        <v>2</v>
      </c>
      <c r="F548" s="27" t="s">
        <v>1645</v>
      </c>
      <c r="G548" s="27" t="s">
        <v>2124</v>
      </c>
      <c r="H548" s="27" t="s">
        <v>1646</v>
      </c>
      <c r="I548" s="27">
        <f>COUNTIF(Questions!H:H,H548)</f>
        <v>2</v>
      </c>
      <c r="J548" s="26"/>
    </row>
    <row r="549" spans="1:10" ht="22" customHeight="1" x14ac:dyDescent="0.35">
      <c r="A549" s="25" t="s">
        <v>1647</v>
      </c>
      <c r="B549" s="25"/>
      <c r="C549" s="26" t="s">
        <v>216</v>
      </c>
      <c r="D549" s="27" t="s">
        <v>1644</v>
      </c>
      <c r="E549" s="27">
        <f>COUNTIF(Questions!D:D,D549)</f>
        <v>2</v>
      </c>
      <c r="F549" s="27" t="s">
        <v>1648</v>
      </c>
      <c r="G549" s="27" t="s">
        <v>2124</v>
      </c>
      <c r="H549" s="27" t="s">
        <v>1646</v>
      </c>
      <c r="I549" s="27">
        <f>COUNTIF(Questions!H:H,H549)</f>
        <v>2</v>
      </c>
      <c r="J549" s="26"/>
    </row>
    <row r="550" spans="1:10" ht="22" customHeight="1" x14ac:dyDescent="0.35">
      <c r="A550" s="34" t="s">
        <v>1649</v>
      </c>
      <c r="B550" s="34"/>
      <c r="C550" s="35" t="s">
        <v>64</v>
      </c>
      <c r="D550" s="36" t="s">
        <v>1650</v>
      </c>
      <c r="E550" s="36">
        <f>COUNTIF(Questions!D:D,D550)</f>
        <v>2</v>
      </c>
      <c r="F550" s="36" t="s">
        <v>1651</v>
      </c>
      <c r="G550" s="36" t="s">
        <v>67</v>
      </c>
      <c r="H550" s="36" t="s">
        <v>1652</v>
      </c>
      <c r="I550" s="36">
        <f>COUNTIF(Questions!H:H,H550)</f>
        <v>2</v>
      </c>
      <c r="J550" s="35"/>
    </row>
    <row r="551" spans="1:10" ht="22" customHeight="1" x14ac:dyDescent="0.35">
      <c r="A551" s="34" t="s">
        <v>1653</v>
      </c>
      <c r="B551" s="34"/>
      <c r="C551" s="35" t="s">
        <v>64</v>
      </c>
      <c r="D551" s="36" t="s">
        <v>1650</v>
      </c>
      <c r="E551" s="36">
        <f>COUNTIF(Questions!D:D,D551)</f>
        <v>2</v>
      </c>
      <c r="F551" s="36" t="s">
        <v>1654</v>
      </c>
      <c r="G551" s="36" t="s">
        <v>67</v>
      </c>
      <c r="H551" s="36" t="s">
        <v>1652</v>
      </c>
      <c r="I551" s="36">
        <f>COUNTIF(Questions!H:H,H551)</f>
        <v>2</v>
      </c>
      <c r="J551" s="35"/>
    </row>
    <row r="552" spans="1:10" ht="22" customHeight="1" x14ac:dyDescent="0.35">
      <c r="A552" s="28" t="s">
        <v>1655</v>
      </c>
      <c r="B552" s="28"/>
      <c r="C552" s="29" t="s">
        <v>176</v>
      </c>
      <c r="D552" s="30" t="s">
        <v>1656</v>
      </c>
      <c r="E552" s="30">
        <f>COUNTIF(Questions!D:D,D552)</f>
        <v>2</v>
      </c>
      <c r="F552" s="30" t="s">
        <v>1657</v>
      </c>
      <c r="G552" s="30" t="s">
        <v>179</v>
      </c>
      <c r="H552" s="30" t="s">
        <v>1658</v>
      </c>
      <c r="I552" s="30">
        <f>COUNTIF(Questions!H:H,H552)</f>
        <v>2</v>
      </c>
      <c r="J552" s="29"/>
    </row>
    <row r="553" spans="1:10" ht="22" customHeight="1" x14ac:dyDescent="0.35">
      <c r="A553" s="28" t="s">
        <v>1659</v>
      </c>
      <c r="B553" s="28"/>
      <c r="C553" s="29" t="s">
        <v>176</v>
      </c>
      <c r="D553" s="30" t="s">
        <v>1656</v>
      </c>
      <c r="E553" s="30">
        <f>COUNTIF(Questions!D:D,D553)</f>
        <v>2</v>
      </c>
      <c r="F553" s="30" t="s">
        <v>1660</v>
      </c>
      <c r="G553" s="30" t="s">
        <v>179</v>
      </c>
      <c r="H553" s="30" t="s">
        <v>1658</v>
      </c>
      <c r="I553" s="30">
        <f>COUNTIF(Questions!H:H,H553)</f>
        <v>2</v>
      </c>
      <c r="J553" s="29"/>
    </row>
    <row r="554" spans="1:10" ht="22" customHeight="1" x14ac:dyDescent="0.35">
      <c r="A554" s="28" t="s">
        <v>1661</v>
      </c>
      <c r="B554" s="28"/>
      <c r="C554" s="29" t="s">
        <v>8</v>
      </c>
      <c r="D554" s="30" t="s">
        <v>1662</v>
      </c>
      <c r="E554" s="30">
        <f>COUNTIF(Questions!D:D,D554)</f>
        <v>2</v>
      </c>
      <c r="F554" s="30" t="s">
        <v>1663</v>
      </c>
      <c r="G554" s="30" t="s">
        <v>11</v>
      </c>
      <c r="H554" s="30" t="s">
        <v>1664</v>
      </c>
      <c r="I554" s="30">
        <f>COUNTIF(Questions!H:H,H554)</f>
        <v>2</v>
      </c>
      <c r="J554" s="29"/>
    </row>
    <row r="555" spans="1:10" ht="22" customHeight="1" x14ac:dyDescent="0.35">
      <c r="A555" s="22" t="s">
        <v>1665</v>
      </c>
      <c r="B555" s="22"/>
      <c r="C555" s="23" t="s">
        <v>16</v>
      </c>
      <c r="D555" s="24" t="s">
        <v>1666</v>
      </c>
      <c r="E555" s="24">
        <f>COUNTIF(Questions!D:D,D555)</f>
        <v>2</v>
      </c>
      <c r="F555" s="24" t="s">
        <v>1667</v>
      </c>
      <c r="G555" s="24" t="s">
        <v>19</v>
      </c>
      <c r="H555" s="24" t="s">
        <v>1668</v>
      </c>
      <c r="I555" s="24">
        <f>COUNTIF(Questions!H:H,H555)</f>
        <v>2</v>
      </c>
      <c r="J555" s="23"/>
    </row>
    <row r="556" spans="1:10" ht="22" customHeight="1" x14ac:dyDescent="0.35">
      <c r="A556" s="22" t="s">
        <v>1669</v>
      </c>
      <c r="B556" s="22"/>
      <c r="C556" s="23" t="s">
        <v>16</v>
      </c>
      <c r="D556" s="24" t="s">
        <v>1666</v>
      </c>
      <c r="E556" s="24">
        <f>COUNTIF(Questions!D:D,D556)</f>
        <v>2</v>
      </c>
      <c r="F556" s="24" t="s">
        <v>1670</v>
      </c>
      <c r="G556" s="24" t="s">
        <v>19</v>
      </c>
      <c r="H556" s="24" t="s">
        <v>1668</v>
      </c>
      <c r="I556" s="24">
        <f>COUNTIF(Questions!H:H,H556)</f>
        <v>2</v>
      </c>
      <c r="J556" s="23" t="s">
        <v>1395</v>
      </c>
    </row>
    <row r="557" spans="1:10" ht="22" customHeight="1" x14ac:dyDescent="0.35">
      <c r="A557" s="25" t="s">
        <v>1671</v>
      </c>
      <c r="B557" s="25"/>
      <c r="C557" s="26" t="s">
        <v>176</v>
      </c>
      <c r="D557" s="27" t="s">
        <v>1672</v>
      </c>
      <c r="E557" s="27">
        <f>COUNTIF(Questions!D:D,D557)</f>
        <v>2</v>
      </c>
      <c r="F557" s="27" t="s">
        <v>1673</v>
      </c>
      <c r="G557" s="27" t="s">
        <v>179</v>
      </c>
      <c r="H557" s="27" t="s">
        <v>1674</v>
      </c>
      <c r="I557" s="27">
        <f>COUNTIF(Questions!H:H,H557)</f>
        <v>2</v>
      </c>
      <c r="J557" s="26"/>
    </row>
    <row r="558" spans="1:10" ht="22" customHeight="1" x14ac:dyDescent="0.35">
      <c r="A558" s="25" t="s">
        <v>1675</v>
      </c>
      <c r="B558" s="25"/>
      <c r="C558" s="26" t="s">
        <v>176</v>
      </c>
      <c r="D558" s="27" t="s">
        <v>1672</v>
      </c>
      <c r="E558" s="27">
        <f>COUNTIF(Questions!D:D,D558)</f>
        <v>2</v>
      </c>
      <c r="F558" s="27" t="s">
        <v>1676</v>
      </c>
      <c r="G558" s="27" t="s">
        <v>179</v>
      </c>
      <c r="H558" s="27" t="s">
        <v>1674</v>
      </c>
      <c r="I558" s="27">
        <f>COUNTIF(Questions!H:H,H558)</f>
        <v>2</v>
      </c>
      <c r="J558" s="26" t="s">
        <v>1677</v>
      </c>
    </row>
    <row r="559" spans="1:10" ht="22" customHeight="1" x14ac:dyDescent="0.35">
      <c r="A559" s="37" t="s">
        <v>1678</v>
      </c>
      <c r="B559" s="37"/>
      <c r="C559" s="38" t="s">
        <v>57</v>
      </c>
      <c r="D559" s="39" t="s">
        <v>1679</v>
      </c>
      <c r="E559" s="39">
        <f>COUNTIF(Questions!D:D,D559)</f>
        <v>2</v>
      </c>
      <c r="F559" s="39" t="s">
        <v>1680</v>
      </c>
      <c r="G559" s="39" t="s">
        <v>2121</v>
      </c>
      <c r="H559" s="39" t="s">
        <v>1681</v>
      </c>
      <c r="I559" s="39">
        <f>COUNTIF(Questions!H:H,H559)</f>
        <v>2</v>
      </c>
      <c r="J559" s="38"/>
    </row>
    <row r="560" spans="1:10" ht="22" customHeight="1" x14ac:dyDescent="0.35">
      <c r="A560" s="37" t="s">
        <v>1682</v>
      </c>
      <c r="B560" s="37"/>
      <c r="C560" s="38" t="s">
        <v>57</v>
      </c>
      <c r="D560" s="39" t="s">
        <v>1679</v>
      </c>
      <c r="E560" s="39">
        <f>COUNTIF(Questions!D:D,D560)</f>
        <v>2</v>
      </c>
      <c r="F560" s="39" t="s">
        <v>1683</v>
      </c>
      <c r="G560" s="39" t="s">
        <v>2121</v>
      </c>
      <c r="H560" s="39" t="s">
        <v>1681</v>
      </c>
      <c r="I560" s="39">
        <f>COUNTIF(Questions!H:H,H560)</f>
        <v>2</v>
      </c>
      <c r="J560" s="38"/>
    </row>
    <row r="561" spans="1:10" ht="22" customHeight="1" x14ac:dyDescent="0.35">
      <c r="A561" s="28" t="s">
        <v>1684</v>
      </c>
      <c r="B561" s="28"/>
      <c r="C561" s="29" t="s">
        <v>176</v>
      </c>
      <c r="D561" s="30" t="s">
        <v>1685</v>
      </c>
      <c r="E561" s="30">
        <f>COUNTIF(Questions!D:D,D561)</f>
        <v>2</v>
      </c>
      <c r="F561" s="30" t="s">
        <v>1686</v>
      </c>
      <c r="G561" s="30" t="s">
        <v>179</v>
      </c>
      <c r="H561" s="30" t="s">
        <v>1687</v>
      </c>
      <c r="I561" s="30">
        <f>COUNTIF(Questions!H:H,H561)</f>
        <v>2</v>
      </c>
      <c r="J561" s="29"/>
    </row>
    <row r="562" spans="1:10" ht="22" customHeight="1" x14ac:dyDescent="0.35">
      <c r="A562" s="28" t="s">
        <v>1688</v>
      </c>
      <c r="B562" s="28"/>
      <c r="C562" s="29" t="s">
        <v>176</v>
      </c>
      <c r="D562" s="30" t="s">
        <v>1685</v>
      </c>
      <c r="E562" s="30">
        <f>COUNTIF(Questions!D:D,D562)</f>
        <v>2</v>
      </c>
      <c r="F562" s="30" t="s">
        <v>1689</v>
      </c>
      <c r="G562" s="30" t="s">
        <v>179</v>
      </c>
      <c r="H562" s="30" t="s">
        <v>1687</v>
      </c>
      <c r="I562" s="30">
        <f>COUNTIF(Questions!H:H,H562)</f>
        <v>2</v>
      </c>
      <c r="J562" s="29"/>
    </row>
    <row r="563" spans="1:10" ht="22" customHeight="1" x14ac:dyDescent="0.35">
      <c r="A563" s="25" t="s">
        <v>1690</v>
      </c>
      <c r="B563" s="25"/>
      <c r="C563" s="26" t="s">
        <v>216</v>
      </c>
      <c r="D563" s="27" t="s">
        <v>1691</v>
      </c>
      <c r="E563" s="27">
        <f>COUNTIF(Questions!D:D,D563)</f>
        <v>2</v>
      </c>
      <c r="F563" s="27" t="s">
        <v>1692</v>
      </c>
      <c r="G563" s="27" t="s">
        <v>2124</v>
      </c>
      <c r="H563" s="27" t="s">
        <v>1693</v>
      </c>
      <c r="I563" s="27">
        <f>COUNTIF(Questions!H:H,H563)</f>
        <v>2</v>
      </c>
      <c r="J563" s="26"/>
    </row>
    <row r="564" spans="1:10" ht="22" customHeight="1" x14ac:dyDescent="0.35">
      <c r="A564" s="25" t="s">
        <v>1694</v>
      </c>
      <c r="B564" s="25"/>
      <c r="C564" s="26" t="s">
        <v>216</v>
      </c>
      <c r="D564" s="27" t="s">
        <v>1691</v>
      </c>
      <c r="E564" s="27">
        <f>COUNTIF(Questions!D:D,D564)</f>
        <v>2</v>
      </c>
      <c r="F564" s="27" t="s">
        <v>1695</v>
      </c>
      <c r="G564" s="27" t="s">
        <v>2124</v>
      </c>
      <c r="H564" s="27" t="s">
        <v>1693</v>
      </c>
      <c r="I564" s="27">
        <f>COUNTIF(Questions!H:H,H564)</f>
        <v>2</v>
      </c>
      <c r="J564" s="26"/>
    </row>
    <row r="565" spans="1:10" ht="22" customHeight="1" x14ac:dyDescent="0.35">
      <c r="A565" s="28" t="s">
        <v>1696</v>
      </c>
      <c r="B565" s="28"/>
      <c r="C565" s="29" t="s">
        <v>16</v>
      </c>
      <c r="D565" s="30" t="s">
        <v>1697</v>
      </c>
      <c r="E565" s="30">
        <f>COUNTIF(Questions!D:D,D565)</f>
        <v>2</v>
      </c>
      <c r="F565" s="30" t="s">
        <v>1698</v>
      </c>
      <c r="G565" s="30" t="s">
        <v>19</v>
      </c>
      <c r="H565" s="30" t="s">
        <v>1699</v>
      </c>
      <c r="I565" s="30">
        <f>COUNTIF(Questions!H:H,H565)</f>
        <v>2</v>
      </c>
      <c r="J565" s="29"/>
    </row>
    <row r="566" spans="1:10" ht="22" customHeight="1" x14ac:dyDescent="0.35">
      <c r="A566" s="28" t="s">
        <v>1700</v>
      </c>
      <c r="B566" s="28"/>
      <c r="C566" s="29" t="s">
        <v>16</v>
      </c>
      <c r="D566" s="30" t="s">
        <v>1697</v>
      </c>
      <c r="E566" s="30">
        <f>COUNTIF(Questions!D:D,D566)</f>
        <v>2</v>
      </c>
      <c r="F566" s="30" t="s">
        <v>1701</v>
      </c>
      <c r="G566" s="30" t="s">
        <v>19</v>
      </c>
      <c r="H566" s="30" t="s">
        <v>1699</v>
      </c>
      <c r="I566" s="30">
        <f>COUNTIF(Questions!H:H,H566)</f>
        <v>2</v>
      </c>
      <c r="J566" s="29"/>
    </row>
    <row r="567" spans="1:10" ht="22" customHeight="1" x14ac:dyDescent="0.35">
      <c r="A567" s="37" t="s">
        <v>1702</v>
      </c>
      <c r="B567" s="37"/>
      <c r="C567" s="38" t="s">
        <v>57</v>
      </c>
      <c r="D567" s="39" t="s">
        <v>1703</v>
      </c>
      <c r="E567" s="39">
        <f>COUNTIF(Questions!D:D,D567)</f>
        <v>2</v>
      </c>
      <c r="F567" s="39" t="s">
        <v>1704</v>
      </c>
      <c r="G567" s="39" t="s">
        <v>2121</v>
      </c>
      <c r="H567" s="39" t="s">
        <v>1705</v>
      </c>
      <c r="I567" s="39">
        <f>COUNTIF(Questions!H:H,H567)</f>
        <v>2</v>
      </c>
      <c r="J567" s="38"/>
    </row>
    <row r="568" spans="1:10" ht="22" customHeight="1" x14ac:dyDescent="0.35">
      <c r="A568" s="37" t="s">
        <v>1706</v>
      </c>
      <c r="B568" s="37"/>
      <c r="C568" s="38" t="s">
        <v>57</v>
      </c>
      <c r="D568" s="39" t="s">
        <v>1703</v>
      </c>
      <c r="E568" s="39">
        <f>COUNTIF(Questions!D:D,D568)</f>
        <v>2</v>
      </c>
      <c r="F568" s="39" t="s">
        <v>1707</v>
      </c>
      <c r="G568" s="39" t="s">
        <v>2121</v>
      </c>
      <c r="H568" s="39" t="s">
        <v>1705</v>
      </c>
      <c r="I568" s="39">
        <f>COUNTIF(Questions!H:H,H568)</f>
        <v>2</v>
      </c>
      <c r="J568" s="38"/>
    </row>
    <row r="569" spans="1:10" ht="22" customHeight="1" x14ac:dyDescent="0.35">
      <c r="A569" s="16" t="s">
        <v>1708</v>
      </c>
      <c r="B569" s="16"/>
      <c r="C569" s="17" t="s">
        <v>92</v>
      </c>
      <c r="D569" s="18" t="s">
        <v>1709</v>
      </c>
      <c r="E569" s="18">
        <f>COUNTIF(Questions!D:D,D569)</f>
        <v>2</v>
      </c>
      <c r="F569" s="18" t="s">
        <v>1710</v>
      </c>
      <c r="G569" s="18" t="s">
        <v>2125</v>
      </c>
      <c r="H569" s="18" t="s">
        <v>1711</v>
      </c>
      <c r="I569" s="18">
        <f>COUNTIF(Questions!H:H,H569)</f>
        <v>2</v>
      </c>
      <c r="J569" s="17"/>
    </row>
    <row r="570" spans="1:10" ht="22" customHeight="1" x14ac:dyDescent="0.35">
      <c r="A570" s="16" t="s">
        <v>1712</v>
      </c>
      <c r="B570" s="16"/>
      <c r="C570" s="17" t="s">
        <v>92</v>
      </c>
      <c r="D570" s="18" t="s">
        <v>1709</v>
      </c>
      <c r="E570" s="18">
        <f>COUNTIF(Questions!D:D,D570)</f>
        <v>2</v>
      </c>
      <c r="F570" s="18" t="s">
        <v>1713</v>
      </c>
      <c r="G570" s="18" t="s">
        <v>2125</v>
      </c>
      <c r="H570" s="18" t="s">
        <v>1711</v>
      </c>
      <c r="I570" s="18">
        <f>COUNTIF(Questions!H:H,H570)</f>
        <v>2</v>
      </c>
      <c r="J570" s="17" t="s">
        <v>825</v>
      </c>
    </row>
    <row r="571" spans="1:10" ht="22" customHeight="1" x14ac:dyDescent="0.35">
      <c r="A571" s="40" t="s">
        <v>1714</v>
      </c>
      <c r="B571" s="40"/>
      <c r="C571" s="41" t="s">
        <v>145</v>
      </c>
      <c r="D571" s="42" t="s">
        <v>1715</v>
      </c>
      <c r="E571" s="42">
        <f>COUNTIF(Questions!D:D,D571)</f>
        <v>2</v>
      </c>
      <c r="F571" s="42" t="s">
        <v>1716</v>
      </c>
      <c r="G571" s="42" t="s">
        <v>2127</v>
      </c>
      <c r="H571" s="42" t="s">
        <v>1717</v>
      </c>
      <c r="I571" s="42">
        <f>COUNTIF(Questions!H:H,H571)</f>
        <v>2</v>
      </c>
      <c r="J571" s="41"/>
    </row>
    <row r="572" spans="1:10" ht="22" customHeight="1" x14ac:dyDescent="0.35">
      <c r="A572" s="40" t="s">
        <v>1718</v>
      </c>
      <c r="B572" s="40"/>
      <c r="C572" s="41" t="s">
        <v>145</v>
      </c>
      <c r="D572" s="42" t="s">
        <v>1715</v>
      </c>
      <c r="E572" s="42">
        <f>COUNTIF(Questions!D:D,D572)</f>
        <v>2</v>
      </c>
      <c r="F572" s="42" t="s">
        <v>1719</v>
      </c>
      <c r="G572" s="42" t="s">
        <v>2127</v>
      </c>
      <c r="H572" s="42" t="s">
        <v>1717</v>
      </c>
      <c r="I572" s="42">
        <f>COUNTIF(Questions!H:H,H572)</f>
        <v>2</v>
      </c>
      <c r="J572" s="41">
        <v>23</v>
      </c>
    </row>
    <row r="573" spans="1:10" ht="22" customHeight="1" x14ac:dyDescent="0.35">
      <c r="A573" s="13" t="s">
        <v>1720</v>
      </c>
      <c r="B573" s="13"/>
      <c r="C573" s="14" t="s">
        <v>79</v>
      </c>
      <c r="D573" s="15" t="s">
        <v>1721</v>
      </c>
      <c r="E573" s="15">
        <f>COUNTIF(Questions!D:D,D573)</f>
        <v>2</v>
      </c>
      <c r="F573" s="15" t="s">
        <v>1722</v>
      </c>
      <c r="G573" s="15" t="s">
        <v>2043</v>
      </c>
      <c r="H573" s="15" t="s">
        <v>1723</v>
      </c>
      <c r="I573" s="15">
        <f>COUNTIF(Questions!H:H,H573)</f>
        <v>2</v>
      </c>
      <c r="J573" s="14"/>
    </row>
    <row r="574" spans="1:10" ht="22" customHeight="1" x14ac:dyDescent="0.35">
      <c r="A574" s="13" t="s">
        <v>1724</v>
      </c>
      <c r="B574" s="13"/>
      <c r="C574" s="14" t="s">
        <v>79</v>
      </c>
      <c r="D574" s="15" t="s">
        <v>1721</v>
      </c>
      <c r="E574" s="15">
        <f>COUNTIF(Questions!D:D,D574)</f>
        <v>2</v>
      </c>
      <c r="F574" s="15" t="s">
        <v>1725</v>
      </c>
      <c r="G574" s="15" t="s">
        <v>2043</v>
      </c>
      <c r="H574" s="15" t="s">
        <v>1723</v>
      </c>
      <c r="I574" s="15">
        <f>COUNTIF(Questions!H:H,H574)</f>
        <v>2</v>
      </c>
      <c r="J574" s="14"/>
    </row>
    <row r="575" spans="1:10" ht="22" customHeight="1" x14ac:dyDescent="0.35">
      <c r="A575" s="25" t="s">
        <v>1726</v>
      </c>
      <c r="B575" s="25"/>
      <c r="C575" s="26" t="s">
        <v>216</v>
      </c>
      <c r="D575" s="27" t="s">
        <v>1727</v>
      </c>
      <c r="E575" s="27">
        <f>COUNTIF(Questions!D:D,D575)</f>
        <v>2</v>
      </c>
      <c r="F575" s="27" t="s">
        <v>1728</v>
      </c>
      <c r="G575" s="27" t="s">
        <v>2124</v>
      </c>
      <c r="H575" s="27" t="s">
        <v>1729</v>
      </c>
      <c r="I575" s="27">
        <f>COUNTIF(Questions!H:H,H575)</f>
        <v>2</v>
      </c>
      <c r="J575" s="26"/>
    </row>
    <row r="576" spans="1:10" ht="26.5" customHeight="1" x14ac:dyDescent="0.35">
      <c r="A576" s="25" t="s">
        <v>1730</v>
      </c>
      <c r="B576" s="25"/>
      <c r="C576" s="26" t="s">
        <v>216</v>
      </c>
      <c r="D576" s="27" t="s">
        <v>1727</v>
      </c>
      <c r="E576" s="27">
        <f>COUNTIF(Questions!D:D,D576)</f>
        <v>2</v>
      </c>
      <c r="F576" s="27" t="s">
        <v>1731</v>
      </c>
      <c r="G576" s="27" t="s">
        <v>2124</v>
      </c>
      <c r="H576" s="27" t="s">
        <v>1729</v>
      </c>
      <c r="I576" s="27">
        <f>COUNTIF(Questions!H:H,H576)</f>
        <v>2</v>
      </c>
      <c r="J576" s="26"/>
    </row>
    <row r="577" spans="1:10" ht="22" customHeight="1" x14ac:dyDescent="0.35">
      <c r="A577" s="49" t="s">
        <v>1732</v>
      </c>
      <c r="B577" s="49"/>
      <c r="C577" s="50" t="s">
        <v>8</v>
      </c>
      <c r="D577" s="51" t="s">
        <v>1662</v>
      </c>
      <c r="E577" s="51">
        <f>COUNTIF(Questions!D:D,D577)</f>
        <v>2</v>
      </c>
      <c r="F577" s="51" t="s">
        <v>1733</v>
      </c>
      <c r="G577" s="51" t="s">
        <v>11</v>
      </c>
      <c r="H577" s="51" t="s">
        <v>1664</v>
      </c>
      <c r="I577" s="51">
        <f>COUNTIF(Questions!H:H,H577)</f>
        <v>2</v>
      </c>
      <c r="J577" s="50"/>
    </row>
    <row r="578" spans="1:10" ht="22" customHeight="1" x14ac:dyDescent="0.35">
      <c r="A578" s="49" t="s">
        <v>1734</v>
      </c>
      <c r="B578" s="49"/>
      <c r="C578" s="50" t="s">
        <v>8</v>
      </c>
      <c r="D578" s="51" t="s">
        <v>1735</v>
      </c>
      <c r="E578" s="51">
        <f>COUNTIF(Questions!D:D,D578)</f>
        <v>2</v>
      </c>
      <c r="F578" s="51" t="s">
        <v>1736</v>
      </c>
      <c r="G578" s="51" t="s">
        <v>11</v>
      </c>
      <c r="H578" s="51" t="s">
        <v>1737</v>
      </c>
      <c r="I578" s="51">
        <f>COUNTIF(Questions!H:H,H578)</f>
        <v>2</v>
      </c>
      <c r="J578" s="50"/>
    </row>
    <row r="579" spans="1:10" ht="22" customHeight="1" x14ac:dyDescent="0.35">
      <c r="A579" s="49" t="s">
        <v>1738</v>
      </c>
      <c r="B579" s="49"/>
      <c r="C579" s="50" t="s">
        <v>8</v>
      </c>
      <c r="D579" s="51" t="s">
        <v>1735</v>
      </c>
      <c r="E579" s="51">
        <f>COUNTIF(Questions!D:D,D579)</f>
        <v>2</v>
      </c>
      <c r="F579" s="51" t="s">
        <v>1739</v>
      </c>
      <c r="G579" s="51" t="s">
        <v>11</v>
      </c>
      <c r="H579" s="51" t="s">
        <v>1737</v>
      </c>
      <c r="I579" s="51">
        <f>COUNTIF(Questions!H:H,H579)</f>
        <v>2</v>
      </c>
      <c r="J579" s="50"/>
    </row>
    <row r="580" spans="1:10" ht="22" customHeight="1" x14ac:dyDescent="0.35">
      <c r="A580" s="9" t="s">
        <v>1740</v>
      </c>
      <c r="B580" s="9"/>
      <c r="C580" s="10" t="s">
        <v>8</v>
      </c>
      <c r="D580" s="11" t="s">
        <v>1741</v>
      </c>
      <c r="E580" s="11">
        <f>COUNTIF(Questions!D:D,D580)</f>
        <v>2</v>
      </c>
      <c r="F580" s="11" t="s">
        <v>1742</v>
      </c>
      <c r="G580" s="11" t="s">
        <v>11</v>
      </c>
      <c r="H580" s="11" t="s">
        <v>1741</v>
      </c>
      <c r="I580" s="11">
        <f>COUNTIF(Questions!H:H,H580)</f>
        <v>2</v>
      </c>
      <c r="J580" s="12"/>
    </row>
    <row r="581" spans="1:10" ht="22" customHeight="1" x14ac:dyDescent="0.35">
      <c r="A581" s="43" t="s">
        <v>1743</v>
      </c>
      <c r="B581" s="43"/>
      <c r="C581" s="44" t="s">
        <v>8</v>
      </c>
      <c r="D581" s="45" t="s">
        <v>1741</v>
      </c>
      <c r="E581" s="45">
        <f>COUNTIF(Questions!D:D,D581)</f>
        <v>2</v>
      </c>
      <c r="F581" s="45" t="s">
        <v>1744</v>
      </c>
      <c r="G581" s="45" t="s">
        <v>11</v>
      </c>
      <c r="H581" s="45" t="s">
        <v>1741</v>
      </c>
      <c r="I581" s="45">
        <f>COUNTIF(Questions!H:H,H581)</f>
        <v>2</v>
      </c>
      <c r="J581" s="44"/>
    </row>
    <row r="582" spans="1:10" ht="22" customHeight="1" x14ac:dyDescent="0.35">
      <c r="A582" s="28" t="s">
        <v>1745</v>
      </c>
      <c r="B582" s="28"/>
      <c r="C582" s="29" t="s">
        <v>24</v>
      </c>
      <c r="D582" s="30" t="s">
        <v>1746</v>
      </c>
      <c r="E582" s="30">
        <f>COUNTIF(Questions!D:D,D582)</f>
        <v>2</v>
      </c>
      <c r="F582" s="30" t="s">
        <v>1747</v>
      </c>
      <c r="G582" s="30" t="s">
        <v>27</v>
      </c>
      <c r="H582" s="30" t="s">
        <v>1748</v>
      </c>
      <c r="I582" s="30">
        <f>COUNTIF(Questions!H:H,H582)</f>
        <v>2</v>
      </c>
      <c r="J582" s="29"/>
    </row>
    <row r="583" spans="1:10" ht="22" customHeight="1" x14ac:dyDescent="0.35">
      <c r="A583" s="28" t="s">
        <v>1749</v>
      </c>
      <c r="B583" s="28"/>
      <c r="C583" s="29" t="s">
        <v>24</v>
      </c>
      <c r="D583" s="30" t="s">
        <v>1746</v>
      </c>
      <c r="E583" s="30">
        <f>COUNTIF(Questions!D:D,D583)</f>
        <v>2</v>
      </c>
      <c r="F583" s="30" t="s">
        <v>1750</v>
      </c>
      <c r="G583" s="30" t="s">
        <v>27</v>
      </c>
      <c r="H583" s="30" t="s">
        <v>1748</v>
      </c>
      <c r="I583" s="30">
        <f>COUNTIF(Questions!H:H,H583)</f>
        <v>2</v>
      </c>
      <c r="J583" s="29"/>
    </row>
    <row r="584" spans="1:10" ht="22" customHeight="1" x14ac:dyDescent="0.35">
      <c r="A584" s="37" t="s">
        <v>1751</v>
      </c>
      <c r="B584" s="37"/>
      <c r="C584" s="38" t="s">
        <v>57</v>
      </c>
      <c r="D584" s="39" t="s">
        <v>1752</v>
      </c>
      <c r="E584" s="39">
        <f>COUNTIF(Questions!D:D,D584)</f>
        <v>2</v>
      </c>
      <c r="F584" s="39" t="s">
        <v>1753</v>
      </c>
      <c r="G584" s="39" t="s">
        <v>2121</v>
      </c>
      <c r="H584" s="39" t="s">
        <v>1752</v>
      </c>
      <c r="I584" s="39">
        <f>COUNTIF(Questions!H:H,H584)</f>
        <v>2</v>
      </c>
      <c r="J584" s="38"/>
    </row>
    <row r="585" spans="1:10" ht="22" customHeight="1" x14ac:dyDescent="0.35">
      <c r="A585" s="37" t="s">
        <v>1754</v>
      </c>
      <c r="B585" s="37"/>
      <c r="C585" s="38" t="s">
        <v>57</v>
      </c>
      <c r="D585" s="39" t="s">
        <v>1752</v>
      </c>
      <c r="E585" s="39">
        <f>COUNTIF(Questions!D:D,D585)</f>
        <v>2</v>
      </c>
      <c r="F585" s="39" t="s">
        <v>1755</v>
      </c>
      <c r="G585" s="39" t="s">
        <v>2121</v>
      </c>
      <c r="H585" s="39" t="s">
        <v>1752</v>
      </c>
      <c r="I585" s="39">
        <f>COUNTIF(Questions!H:H,H585)</f>
        <v>2</v>
      </c>
      <c r="J585" s="38"/>
    </row>
    <row r="586" spans="1:10" ht="22" customHeight="1" x14ac:dyDescent="0.35">
      <c r="A586" s="19" t="s">
        <v>1756</v>
      </c>
      <c r="B586" s="19"/>
      <c r="C586" s="20" t="s">
        <v>64</v>
      </c>
      <c r="D586" s="21" t="s">
        <v>1757</v>
      </c>
      <c r="E586" s="21">
        <f>COUNTIF(Questions!D:D,D586)</f>
        <v>2</v>
      </c>
      <c r="F586" s="21" t="s">
        <v>1758</v>
      </c>
      <c r="G586" s="21" t="s">
        <v>67</v>
      </c>
      <c r="H586" s="21" t="s">
        <v>1759</v>
      </c>
      <c r="I586" s="21">
        <f>COUNTIF(Questions!H:H,H586)</f>
        <v>2</v>
      </c>
      <c r="J586" s="20"/>
    </row>
    <row r="587" spans="1:10" ht="22" customHeight="1" x14ac:dyDescent="0.35">
      <c r="A587" s="19" t="s">
        <v>1760</v>
      </c>
      <c r="B587" s="19"/>
      <c r="C587" s="20" t="s">
        <v>64</v>
      </c>
      <c r="D587" s="21" t="s">
        <v>1757</v>
      </c>
      <c r="E587" s="21">
        <f>COUNTIF(Questions!D:D,D587)</f>
        <v>2</v>
      </c>
      <c r="F587" s="21" t="s">
        <v>1761</v>
      </c>
      <c r="G587" s="21" t="s">
        <v>67</v>
      </c>
      <c r="H587" s="21" t="s">
        <v>1759</v>
      </c>
      <c r="I587" s="21">
        <f>COUNTIF(Questions!H:H,H587)</f>
        <v>2</v>
      </c>
      <c r="J587" s="20">
        <v>23</v>
      </c>
    </row>
    <row r="588" spans="1:10" ht="22" customHeight="1" x14ac:dyDescent="0.35">
      <c r="A588" s="49" t="s">
        <v>1762</v>
      </c>
      <c r="B588" s="49"/>
      <c r="C588" s="50" t="s">
        <v>72</v>
      </c>
      <c r="D588" s="51" t="s">
        <v>1763</v>
      </c>
      <c r="E588" s="51">
        <f>COUNTIF(Questions!D:D,D588)</f>
        <v>2</v>
      </c>
      <c r="F588" s="51" t="s">
        <v>1764</v>
      </c>
      <c r="G588" s="51" t="s">
        <v>2120</v>
      </c>
      <c r="H588" s="51" t="s">
        <v>1765</v>
      </c>
      <c r="I588" s="51">
        <f>COUNTIF(Questions!H:H,H588)</f>
        <v>2</v>
      </c>
      <c r="J588" s="50"/>
    </row>
    <row r="589" spans="1:10" ht="22" customHeight="1" x14ac:dyDescent="0.35">
      <c r="A589" s="49" t="s">
        <v>1766</v>
      </c>
      <c r="B589" s="49"/>
      <c r="C589" s="50" t="s">
        <v>72</v>
      </c>
      <c r="D589" s="51" t="s">
        <v>1763</v>
      </c>
      <c r="E589" s="51">
        <f>COUNTIF(Questions!D:D,D589)</f>
        <v>2</v>
      </c>
      <c r="F589" s="51" t="s">
        <v>1767</v>
      </c>
      <c r="G589" s="51" t="s">
        <v>2120</v>
      </c>
      <c r="H589" s="51" t="s">
        <v>1765</v>
      </c>
      <c r="I589" s="51">
        <f>COUNTIF(Questions!H:H,H589)</f>
        <v>2</v>
      </c>
      <c r="J589" s="50"/>
    </row>
    <row r="590" spans="1:10" ht="22" customHeight="1" x14ac:dyDescent="0.35">
      <c r="A590" s="25" t="s">
        <v>1768</v>
      </c>
      <c r="B590" s="25"/>
      <c r="C590" s="26" t="s">
        <v>216</v>
      </c>
      <c r="D590" s="27" t="s">
        <v>1769</v>
      </c>
      <c r="E590" s="27">
        <f>COUNTIF(Questions!D:D,D590)</f>
        <v>2</v>
      </c>
      <c r="F590" s="27" t="s">
        <v>1770</v>
      </c>
      <c r="G590" s="27" t="s">
        <v>2124</v>
      </c>
      <c r="H590" s="27" t="s">
        <v>1771</v>
      </c>
      <c r="I590" s="27">
        <f>COUNTIF(Questions!H:H,H590)</f>
        <v>2</v>
      </c>
      <c r="J590" s="26"/>
    </row>
    <row r="591" spans="1:10" ht="22" customHeight="1" x14ac:dyDescent="0.35">
      <c r="A591" s="25" t="s">
        <v>1772</v>
      </c>
      <c r="B591" s="25"/>
      <c r="C591" s="26" t="s">
        <v>216</v>
      </c>
      <c r="D591" s="27" t="s">
        <v>1769</v>
      </c>
      <c r="E591" s="27">
        <f>COUNTIF(Questions!D:D,D591)</f>
        <v>2</v>
      </c>
      <c r="F591" s="27" t="s">
        <v>1773</v>
      </c>
      <c r="G591" s="27" t="s">
        <v>2124</v>
      </c>
      <c r="H591" s="27" t="s">
        <v>1771</v>
      </c>
      <c r="I591" s="27">
        <f>COUNTIF(Questions!H:H,H591)</f>
        <v>2</v>
      </c>
      <c r="J591" s="26">
        <v>23</v>
      </c>
    </row>
    <row r="592" spans="1:10" ht="22" customHeight="1" x14ac:dyDescent="0.35">
      <c r="A592" s="6" t="s">
        <v>1774</v>
      </c>
      <c r="B592" s="6"/>
      <c r="C592" s="7" t="s">
        <v>50</v>
      </c>
      <c r="D592" s="8" t="s">
        <v>1775</v>
      </c>
      <c r="E592" s="8">
        <f>COUNTIF(Questions!D:D,D592)</f>
        <v>2</v>
      </c>
      <c r="F592" s="8" t="s">
        <v>1776</v>
      </c>
      <c r="G592" s="8" t="s">
        <v>50</v>
      </c>
      <c r="H592" s="8" t="s">
        <v>1777</v>
      </c>
      <c r="I592" s="8">
        <f>COUNTIF(Questions!H:H,H592)</f>
        <v>2</v>
      </c>
      <c r="J592" s="7"/>
    </row>
    <row r="593" spans="1:10" ht="22" customHeight="1" x14ac:dyDescent="0.35">
      <c r="A593" s="6" t="s">
        <v>1778</v>
      </c>
      <c r="B593" s="6"/>
      <c r="C593" s="7" t="s">
        <v>50</v>
      </c>
      <c r="D593" s="8" t="s">
        <v>1775</v>
      </c>
      <c r="E593" s="8">
        <f>COUNTIF(Questions!D:D,D593)</f>
        <v>2</v>
      </c>
      <c r="F593" s="8" t="s">
        <v>1779</v>
      </c>
      <c r="G593" s="8" t="s">
        <v>50</v>
      </c>
      <c r="H593" s="8" t="s">
        <v>1777</v>
      </c>
      <c r="I593" s="8">
        <f>COUNTIF(Questions!H:H,H593)</f>
        <v>2</v>
      </c>
      <c r="J593" s="7"/>
    </row>
    <row r="594" spans="1:10" ht="22" customHeight="1" x14ac:dyDescent="0.35">
      <c r="A594" s="43" t="s">
        <v>1780</v>
      </c>
      <c r="B594" s="43"/>
      <c r="C594" s="44" t="s">
        <v>72</v>
      </c>
      <c r="D594" s="45" t="s">
        <v>1781</v>
      </c>
      <c r="E594" s="45">
        <f>COUNTIF(Questions!D:D,D594)</f>
        <v>2</v>
      </c>
      <c r="F594" s="45" t="s">
        <v>1782</v>
      </c>
      <c r="G594" s="45" t="s">
        <v>2120</v>
      </c>
      <c r="H594" s="45" t="s">
        <v>1783</v>
      </c>
      <c r="I594" s="45">
        <f>COUNTIF(Questions!H:H,H594)</f>
        <v>2</v>
      </c>
      <c r="J594" s="44"/>
    </row>
    <row r="595" spans="1:10" ht="22" customHeight="1" x14ac:dyDescent="0.35">
      <c r="A595" s="43" t="s">
        <v>1784</v>
      </c>
      <c r="B595" s="43"/>
      <c r="C595" s="44" t="s">
        <v>72</v>
      </c>
      <c r="D595" s="45" t="s">
        <v>1781</v>
      </c>
      <c r="E595" s="45">
        <f>COUNTIF(Questions!D:D,D595)</f>
        <v>2</v>
      </c>
      <c r="F595" s="45" t="s">
        <v>1785</v>
      </c>
      <c r="G595" s="45" t="s">
        <v>2120</v>
      </c>
      <c r="H595" s="45" t="s">
        <v>1783</v>
      </c>
      <c r="I595" s="45">
        <f>COUNTIF(Questions!H:H,H595)</f>
        <v>2</v>
      </c>
      <c r="J595" s="44">
        <v>23</v>
      </c>
    </row>
    <row r="596" spans="1:10" ht="22" customHeight="1" x14ac:dyDescent="0.35">
      <c r="A596" s="6" t="s">
        <v>1786</v>
      </c>
      <c r="B596" s="6"/>
      <c r="C596" s="7" t="s">
        <v>50</v>
      </c>
      <c r="D596" s="8" t="s">
        <v>1787</v>
      </c>
      <c r="E596" s="8">
        <f>COUNTIF(Questions!D:D,D596)</f>
        <v>2</v>
      </c>
      <c r="F596" s="8" t="s">
        <v>1788</v>
      </c>
      <c r="G596" s="8" t="s">
        <v>50</v>
      </c>
      <c r="H596" s="8" t="s">
        <v>1789</v>
      </c>
      <c r="I596" s="8">
        <f>COUNTIF(Questions!H:H,H596)</f>
        <v>2</v>
      </c>
      <c r="J596" s="7"/>
    </row>
    <row r="597" spans="1:10" ht="22" customHeight="1" x14ac:dyDescent="0.35">
      <c r="A597" s="6" t="s">
        <v>1790</v>
      </c>
      <c r="B597" s="6"/>
      <c r="C597" s="7" t="s">
        <v>50</v>
      </c>
      <c r="D597" s="8" t="s">
        <v>1787</v>
      </c>
      <c r="E597" s="8">
        <f>COUNTIF(Questions!D:D,D597)</f>
        <v>2</v>
      </c>
      <c r="F597" s="8" t="s">
        <v>1791</v>
      </c>
      <c r="G597" s="8" t="s">
        <v>50</v>
      </c>
      <c r="H597" s="8" t="s">
        <v>1789</v>
      </c>
      <c r="I597" s="8">
        <f>COUNTIF(Questions!H:H,H597)</f>
        <v>2</v>
      </c>
      <c r="J597" s="7"/>
    </row>
    <row r="598" spans="1:10" ht="22" customHeight="1" x14ac:dyDescent="0.35">
      <c r="A598" s="49" t="s">
        <v>1792</v>
      </c>
      <c r="B598" s="49"/>
      <c r="C598" s="50" t="s">
        <v>72</v>
      </c>
      <c r="D598" s="51" t="s">
        <v>1793</v>
      </c>
      <c r="E598" s="51">
        <f>COUNTIF(Questions!D:D,D598)</f>
        <v>2</v>
      </c>
      <c r="F598" s="51" t="s">
        <v>1794</v>
      </c>
      <c r="G598" s="51" t="s">
        <v>2120</v>
      </c>
      <c r="H598" s="51" t="s">
        <v>1795</v>
      </c>
      <c r="I598" s="51">
        <f>COUNTIF(Questions!H:H,H598)</f>
        <v>2</v>
      </c>
      <c r="J598" s="50"/>
    </row>
    <row r="599" spans="1:10" ht="22" customHeight="1" x14ac:dyDescent="0.35">
      <c r="A599" s="49" t="s">
        <v>1796</v>
      </c>
      <c r="B599" s="49"/>
      <c r="C599" s="50" t="s">
        <v>72</v>
      </c>
      <c r="D599" s="51" t="s">
        <v>1793</v>
      </c>
      <c r="E599" s="51">
        <f>COUNTIF(Questions!D:D,D599)</f>
        <v>2</v>
      </c>
      <c r="F599" s="51" t="s">
        <v>1797</v>
      </c>
      <c r="G599" s="51" t="s">
        <v>2120</v>
      </c>
      <c r="H599" s="51" t="s">
        <v>1795</v>
      </c>
      <c r="I599" s="51">
        <f>COUNTIF(Questions!H:H,H599)</f>
        <v>2</v>
      </c>
      <c r="J599" s="50"/>
    </row>
    <row r="600" spans="1:10" ht="22" customHeight="1" x14ac:dyDescent="0.35">
      <c r="A600" s="25" t="s">
        <v>1798</v>
      </c>
      <c r="B600" s="25"/>
      <c r="C600" s="26" t="s">
        <v>216</v>
      </c>
      <c r="D600" s="27" t="s">
        <v>1799</v>
      </c>
      <c r="E600" s="27">
        <f>COUNTIF(Questions!D:D,D600)</f>
        <v>2</v>
      </c>
      <c r="F600" s="27" t="s">
        <v>1800</v>
      </c>
      <c r="G600" s="27" t="s">
        <v>2124</v>
      </c>
      <c r="H600" s="27" t="s">
        <v>1801</v>
      </c>
      <c r="I600" s="27">
        <f>COUNTIF(Questions!H:H,H600)</f>
        <v>2</v>
      </c>
      <c r="J600" s="26"/>
    </row>
    <row r="601" spans="1:10" ht="22" customHeight="1" x14ac:dyDescent="0.35">
      <c r="A601" s="25" t="s">
        <v>1802</v>
      </c>
      <c r="B601" s="25"/>
      <c r="C601" s="26" t="s">
        <v>216</v>
      </c>
      <c r="D601" s="27" t="s">
        <v>1799</v>
      </c>
      <c r="E601" s="27">
        <f>COUNTIF(Questions!D:D,D601)</f>
        <v>2</v>
      </c>
      <c r="F601" s="27" t="s">
        <v>1803</v>
      </c>
      <c r="G601" s="27" t="s">
        <v>2124</v>
      </c>
      <c r="H601" s="27" t="s">
        <v>1801</v>
      </c>
      <c r="I601" s="27">
        <f>COUNTIF(Questions!H:H,H601)</f>
        <v>2</v>
      </c>
      <c r="J601" s="26"/>
    </row>
    <row r="602" spans="1:10" ht="22" customHeight="1" x14ac:dyDescent="0.35">
      <c r="A602" s="13" t="s">
        <v>1804</v>
      </c>
      <c r="B602" s="13"/>
      <c r="C602" s="14" t="s">
        <v>79</v>
      </c>
      <c r="D602" s="15" t="s">
        <v>1805</v>
      </c>
      <c r="E602" s="15">
        <f>COUNTIF(Questions!D:D,D602)</f>
        <v>2</v>
      </c>
      <c r="F602" s="15" t="s">
        <v>1806</v>
      </c>
      <c r="G602" s="15" t="s">
        <v>2043</v>
      </c>
      <c r="H602" s="15" t="s">
        <v>1807</v>
      </c>
      <c r="I602" s="15">
        <f>COUNTIF(Questions!H:H,H602)</f>
        <v>2</v>
      </c>
      <c r="J602" s="14"/>
    </row>
    <row r="603" spans="1:10" ht="22" customHeight="1" x14ac:dyDescent="0.35">
      <c r="A603" s="13" t="s">
        <v>1808</v>
      </c>
      <c r="B603" s="13"/>
      <c r="C603" s="14" t="s">
        <v>79</v>
      </c>
      <c r="D603" s="15" t="s">
        <v>1805</v>
      </c>
      <c r="E603" s="15">
        <f>COUNTIF(Questions!D:D,D603)</f>
        <v>2</v>
      </c>
      <c r="F603" s="15" t="s">
        <v>1809</v>
      </c>
      <c r="G603" s="15" t="s">
        <v>2043</v>
      </c>
      <c r="H603" s="15" t="s">
        <v>1807</v>
      </c>
      <c r="I603" s="15">
        <f>COUNTIF(Questions!H:H,H603)</f>
        <v>2</v>
      </c>
      <c r="J603" s="14"/>
    </row>
    <row r="604" spans="1:10" ht="22" customHeight="1" x14ac:dyDescent="0.35">
      <c r="A604" s="43" t="s">
        <v>1810</v>
      </c>
      <c r="B604" s="43"/>
      <c r="C604" s="44" t="s">
        <v>8</v>
      </c>
      <c r="D604" s="45" t="s">
        <v>1811</v>
      </c>
      <c r="E604" s="45">
        <f>COUNTIF(Questions!D:D,D604)</f>
        <v>2</v>
      </c>
      <c r="F604" s="45" t="s">
        <v>1812</v>
      </c>
      <c r="G604" s="45" t="s">
        <v>11</v>
      </c>
      <c r="H604" s="45" t="s">
        <v>1813</v>
      </c>
      <c r="I604" s="45">
        <f>COUNTIF(Questions!H:H,H604)</f>
        <v>2</v>
      </c>
      <c r="J604" s="44"/>
    </row>
    <row r="605" spans="1:10" ht="22" customHeight="1" x14ac:dyDescent="0.35">
      <c r="A605" s="43" t="s">
        <v>1814</v>
      </c>
      <c r="B605" s="43"/>
      <c r="C605" s="44" t="s">
        <v>8</v>
      </c>
      <c r="D605" s="45" t="s">
        <v>1811</v>
      </c>
      <c r="E605" s="45">
        <f>COUNTIF(Questions!D:D,D605)</f>
        <v>2</v>
      </c>
      <c r="F605" s="45" t="s">
        <v>1815</v>
      </c>
      <c r="G605" s="45" t="s">
        <v>11</v>
      </c>
      <c r="H605" s="45" t="s">
        <v>1813</v>
      </c>
      <c r="I605" s="45">
        <f>COUNTIF(Questions!H:H,H605)</f>
        <v>2</v>
      </c>
      <c r="J605" s="44"/>
    </row>
    <row r="606" spans="1:10" ht="22" customHeight="1" x14ac:dyDescent="0.35">
      <c r="A606" s="43" t="s">
        <v>1816</v>
      </c>
      <c r="B606" s="43"/>
      <c r="C606" s="44" t="s">
        <v>8</v>
      </c>
      <c r="D606" s="45" t="s">
        <v>1817</v>
      </c>
      <c r="E606" s="45">
        <f>COUNTIF(Questions!D:D,D606)</f>
        <v>2</v>
      </c>
      <c r="F606" s="45" t="s">
        <v>1818</v>
      </c>
      <c r="G606" s="45" t="s">
        <v>11</v>
      </c>
      <c r="H606" s="45" t="s">
        <v>1817</v>
      </c>
      <c r="I606" s="45">
        <f>COUNTIF(Questions!H:H,H606)</f>
        <v>2</v>
      </c>
      <c r="J606" s="44"/>
    </row>
    <row r="607" spans="1:10" ht="22" customHeight="1" x14ac:dyDescent="0.35">
      <c r="A607" s="43" t="s">
        <v>1819</v>
      </c>
      <c r="B607" s="43"/>
      <c r="C607" s="44" t="s">
        <v>8</v>
      </c>
      <c r="D607" s="45" t="s">
        <v>1817</v>
      </c>
      <c r="E607" s="45">
        <v>2</v>
      </c>
      <c r="F607" s="45" t="s">
        <v>1820</v>
      </c>
      <c r="G607" s="45" t="s">
        <v>11</v>
      </c>
      <c r="H607" s="45" t="s">
        <v>1817</v>
      </c>
      <c r="I607" s="45">
        <f>COUNTIF(Questions!H:H,H607)</f>
        <v>2</v>
      </c>
      <c r="J607" s="44">
        <v>23</v>
      </c>
    </row>
    <row r="608" spans="1:10" ht="22" customHeight="1" x14ac:dyDescent="0.35">
      <c r="A608" s="19" t="s">
        <v>1821</v>
      </c>
      <c r="B608" s="19"/>
      <c r="C608" s="20" t="s">
        <v>64</v>
      </c>
      <c r="D608" s="21" t="s">
        <v>1822</v>
      </c>
      <c r="E608" s="21">
        <f>COUNTIF(Questions!D:D,D608)</f>
        <v>2</v>
      </c>
      <c r="F608" s="21" t="s">
        <v>1823</v>
      </c>
      <c r="G608" s="21" t="s">
        <v>67</v>
      </c>
      <c r="H608" s="21" t="s">
        <v>1824</v>
      </c>
      <c r="I608" s="21">
        <f>COUNTIF(Questions!H:H,H608)</f>
        <v>2</v>
      </c>
      <c r="J608" s="20"/>
    </row>
    <row r="609" spans="1:10" ht="22" customHeight="1" x14ac:dyDescent="0.35">
      <c r="A609" s="19" t="s">
        <v>1825</v>
      </c>
      <c r="B609" s="19"/>
      <c r="C609" s="20" t="s">
        <v>64</v>
      </c>
      <c r="D609" s="21" t="s">
        <v>1826</v>
      </c>
      <c r="E609" s="21">
        <f>COUNTIF(Questions!D:D,D609)</f>
        <v>2</v>
      </c>
      <c r="F609" s="21" t="s">
        <v>1827</v>
      </c>
      <c r="G609" s="21" t="s">
        <v>67</v>
      </c>
      <c r="H609" s="21" t="s">
        <v>1826</v>
      </c>
      <c r="I609" s="21">
        <f>COUNTIF(Questions!H:H,H609)</f>
        <v>2</v>
      </c>
      <c r="J609" s="20"/>
    </row>
    <row r="610" spans="1:10" ht="22" customHeight="1" x14ac:dyDescent="0.35">
      <c r="A610" s="19" t="s">
        <v>1828</v>
      </c>
      <c r="B610" s="19"/>
      <c r="C610" s="20" t="s">
        <v>64</v>
      </c>
      <c r="D610" s="21" t="s">
        <v>1826</v>
      </c>
      <c r="E610" s="21">
        <f>COUNTIF(Questions!D:D,D610)</f>
        <v>2</v>
      </c>
      <c r="F610" s="21" t="s">
        <v>1829</v>
      </c>
      <c r="G610" s="21" t="s">
        <v>67</v>
      </c>
      <c r="H610" s="21" t="s">
        <v>1826</v>
      </c>
      <c r="I610" s="21">
        <f>COUNTIF(Questions!H:H,H610)</f>
        <v>2</v>
      </c>
      <c r="J610" s="20">
        <v>23</v>
      </c>
    </row>
    <row r="611" spans="1:10" ht="22" customHeight="1" x14ac:dyDescent="0.35">
      <c r="A611" s="19" t="s">
        <v>1830</v>
      </c>
      <c r="B611" s="19"/>
      <c r="C611" s="20" t="s">
        <v>64</v>
      </c>
      <c r="D611" s="21" t="s">
        <v>1822</v>
      </c>
      <c r="E611" s="21">
        <f>COUNTIF(Questions!D:D,D611)</f>
        <v>2</v>
      </c>
      <c r="F611" s="21" t="s">
        <v>1831</v>
      </c>
      <c r="G611" s="21" t="s">
        <v>67</v>
      </c>
      <c r="H611" s="21" t="s">
        <v>1824</v>
      </c>
      <c r="I611" s="21">
        <f>COUNTIF(Questions!H:H,H611)</f>
        <v>2</v>
      </c>
      <c r="J611" s="20"/>
    </row>
    <row r="612" spans="1:10" ht="22" customHeight="1" x14ac:dyDescent="0.35">
      <c r="A612" s="49" t="s">
        <v>1832</v>
      </c>
      <c r="B612" s="49"/>
      <c r="C612" s="50" t="s">
        <v>72</v>
      </c>
      <c r="D612" s="51" t="s">
        <v>1833</v>
      </c>
      <c r="E612" s="51">
        <f>COUNTIF(Questions!D:D,D612)</f>
        <v>2</v>
      </c>
      <c r="F612" s="51" t="s">
        <v>1834</v>
      </c>
      <c r="G612" s="51" t="s">
        <v>2120</v>
      </c>
      <c r="H612" s="51" t="s">
        <v>1835</v>
      </c>
      <c r="I612" s="51">
        <f>COUNTIF(Questions!H:H,H612)</f>
        <v>2</v>
      </c>
      <c r="J612" s="50"/>
    </row>
    <row r="613" spans="1:10" ht="22" customHeight="1" x14ac:dyDescent="0.35">
      <c r="A613" s="49" t="s">
        <v>1836</v>
      </c>
      <c r="B613" s="49"/>
      <c r="C613" s="50" t="s">
        <v>72</v>
      </c>
      <c r="D613" s="51" t="s">
        <v>1837</v>
      </c>
      <c r="E613" s="51">
        <f>COUNTIF(Questions!D:D,D613)</f>
        <v>2</v>
      </c>
      <c r="F613" s="51" t="s">
        <v>1838</v>
      </c>
      <c r="G613" s="51" t="s">
        <v>2120</v>
      </c>
      <c r="H613" s="51" t="s">
        <v>1839</v>
      </c>
      <c r="I613" s="51">
        <f>COUNTIF(Questions!H:H,H613)</f>
        <v>2</v>
      </c>
      <c r="J613" s="50"/>
    </row>
    <row r="614" spans="1:10" ht="22" customHeight="1" x14ac:dyDescent="0.35">
      <c r="A614" s="49" t="s">
        <v>1840</v>
      </c>
      <c r="B614" s="49"/>
      <c r="C614" s="50" t="s">
        <v>72</v>
      </c>
      <c r="D614" s="51" t="s">
        <v>1837</v>
      </c>
      <c r="E614" s="51">
        <f>COUNTIF(Questions!D:D,D614)</f>
        <v>2</v>
      </c>
      <c r="F614" s="51" t="s">
        <v>1841</v>
      </c>
      <c r="G614" s="51" t="s">
        <v>2120</v>
      </c>
      <c r="H614" s="51" t="s">
        <v>1839</v>
      </c>
      <c r="I614" s="51">
        <f>COUNTIF(Questions!H:H,H614)</f>
        <v>2</v>
      </c>
      <c r="J614" s="50">
        <v>23</v>
      </c>
    </row>
    <row r="615" spans="1:10" ht="22" customHeight="1" x14ac:dyDescent="0.35">
      <c r="A615" s="49" t="s">
        <v>1842</v>
      </c>
      <c r="B615" s="49"/>
      <c r="C615" s="50" t="s">
        <v>72</v>
      </c>
      <c r="D615" s="51" t="s">
        <v>1833</v>
      </c>
      <c r="E615" s="51">
        <f>COUNTIF(Questions!D:D,D615)</f>
        <v>2</v>
      </c>
      <c r="F615" s="51" t="s">
        <v>1843</v>
      </c>
      <c r="G615" s="51" t="s">
        <v>2120</v>
      </c>
      <c r="H615" s="51" t="s">
        <v>1835</v>
      </c>
      <c r="I615" s="51">
        <f>COUNTIF(Questions!H:H,H615)</f>
        <v>2</v>
      </c>
      <c r="J615" s="50"/>
    </row>
    <row r="616" spans="1:10" ht="22" customHeight="1" x14ac:dyDescent="0.35">
      <c r="A616" s="6" t="s">
        <v>1844</v>
      </c>
      <c r="B616" s="6"/>
      <c r="C616" s="7" t="s">
        <v>24</v>
      </c>
      <c r="D616" s="8" t="s">
        <v>1845</v>
      </c>
      <c r="E616" s="8">
        <f>COUNTIF(Questions!D:D,D616)</f>
        <v>2</v>
      </c>
      <c r="F616" s="8" t="s">
        <v>1846</v>
      </c>
      <c r="G616" s="8" t="s">
        <v>27</v>
      </c>
      <c r="H616" s="8" t="s">
        <v>1847</v>
      </c>
      <c r="I616" s="8">
        <f>COUNTIF(Questions!H:H,H616)</f>
        <v>2</v>
      </c>
      <c r="J616" s="7"/>
    </row>
    <row r="617" spans="1:10" ht="22" customHeight="1" x14ac:dyDescent="0.35">
      <c r="A617" s="6" t="s">
        <v>1848</v>
      </c>
      <c r="B617" s="6"/>
      <c r="C617" s="7" t="s">
        <v>50</v>
      </c>
      <c r="D617" s="8" t="s">
        <v>1849</v>
      </c>
      <c r="E617" s="8">
        <f>COUNTIF(Questions!D:D,D617)</f>
        <v>2</v>
      </c>
      <c r="F617" s="8" t="s">
        <v>1850</v>
      </c>
      <c r="G617" s="8" t="s">
        <v>50</v>
      </c>
      <c r="H617" s="8" t="s">
        <v>1851</v>
      </c>
      <c r="I617" s="8">
        <f>COUNTIF(Questions!H:H,H617)</f>
        <v>2</v>
      </c>
      <c r="J617" s="7"/>
    </row>
    <row r="618" spans="1:10" ht="22" customHeight="1" x14ac:dyDescent="0.35">
      <c r="A618" s="37" t="s">
        <v>1852</v>
      </c>
      <c r="B618" s="37"/>
      <c r="C618" s="38" t="s">
        <v>8</v>
      </c>
      <c r="D618" s="39" t="s">
        <v>1853</v>
      </c>
      <c r="E618" s="39">
        <f>COUNTIF(Questions!D:D,D618)</f>
        <v>2</v>
      </c>
      <c r="F618" s="39" t="s">
        <v>1854</v>
      </c>
      <c r="G618" s="39" t="s">
        <v>11</v>
      </c>
      <c r="H618" s="39" t="s">
        <v>1855</v>
      </c>
      <c r="I618" s="39">
        <f>COUNTIF(Questions!H:H,H618)</f>
        <v>2</v>
      </c>
      <c r="J618" s="38"/>
    </row>
    <row r="619" spans="1:10" ht="22" customHeight="1" x14ac:dyDescent="0.35">
      <c r="A619" s="37" t="s">
        <v>1856</v>
      </c>
      <c r="B619" s="37"/>
      <c r="C619" s="38" t="s">
        <v>8</v>
      </c>
      <c r="D619" s="39" t="s">
        <v>1853</v>
      </c>
      <c r="E619" s="39">
        <f>COUNTIF(Questions!D:D,D619)</f>
        <v>2</v>
      </c>
      <c r="F619" s="39" t="s">
        <v>1857</v>
      </c>
      <c r="G619" s="39" t="s">
        <v>11</v>
      </c>
      <c r="H619" s="39" t="s">
        <v>1855</v>
      </c>
      <c r="I619" s="39">
        <f>COUNTIF(Questions!H:H,H619)</f>
        <v>2</v>
      </c>
      <c r="J619" s="38"/>
    </row>
    <row r="620" spans="1:10" ht="22" customHeight="1" x14ac:dyDescent="0.35">
      <c r="A620" s="16" t="s">
        <v>1858</v>
      </c>
      <c r="B620" s="16"/>
      <c r="C620" s="17" t="s">
        <v>190</v>
      </c>
      <c r="D620" s="18" t="s">
        <v>1859</v>
      </c>
      <c r="E620" s="18">
        <f>COUNTIF(Questions!D:D,D620)</f>
        <v>2</v>
      </c>
      <c r="F620" s="18" t="s">
        <v>1860</v>
      </c>
      <c r="G620" s="18" t="s">
        <v>2126</v>
      </c>
      <c r="H620" s="18" t="s">
        <v>1861</v>
      </c>
      <c r="I620" s="18">
        <f>COUNTIF(Questions!H:H,H620)</f>
        <v>2</v>
      </c>
      <c r="J620" s="17"/>
    </row>
    <row r="621" spans="1:10" ht="22" customHeight="1" x14ac:dyDescent="0.35">
      <c r="A621" s="16" t="s">
        <v>1862</v>
      </c>
      <c r="B621" s="16"/>
      <c r="C621" s="17" t="s">
        <v>190</v>
      </c>
      <c r="D621" s="18" t="s">
        <v>1859</v>
      </c>
      <c r="E621" s="18">
        <f>COUNTIF(Questions!D:D,D621)</f>
        <v>2</v>
      </c>
      <c r="F621" s="18" t="s">
        <v>1863</v>
      </c>
      <c r="G621" s="18" t="s">
        <v>2126</v>
      </c>
      <c r="H621" s="18" t="s">
        <v>1861</v>
      </c>
      <c r="I621" s="18">
        <f>COUNTIF(Questions!H:H,H621)</f>
        <v>2</v>
      </c>
      <c r="J621" s="17"/>
    </row>
    <row r="622" spans="1:10" ht="22" customHeight="1" x14ac:dyDescent="0.35">
      <c r="A622" s="16" t="s">
        <v>1864</v>
      </c>
      <c r="B622" s="16"/>
      <c r="C622" s="17" t="s">
        <v>190</v>
      </c>
      <c r="D622" s="18" t="s">
        <v>1865</v>
      </c>
      <c r="E622" s="18">
        <f>COUNTIF(Questions!D:D,D622)</f>
        <v>2</v>
      </c>
      <c r="F622" s="18" t="s">
        <v>1866</v>
      </c>
      <c r="G622" s="18" t="s">
        <v>2126</v>
      </c>
      <c r="H622" s="18" t="s">
        <v>1867</v>
      </c>
      <c r="I622" s="18">
        <f>COUNTIF(Questions!H:H,H622)</f>
        <v>2</v>
      </c>
      <c r="J622" s="17"/>
    </row>
    <row r="623" spans="1:10" ht="22" customHeight="1" x14ac:dyDescent="0.35">
      <c r="A623" s="16" t="s">
        <v>1868</v>
      </c>
      <c r="B623" s="16"/>
      <c r="C623" s="17" t="s">
        <v>190</v>
      </c>
      <c r="D623" s="18" t="s">
        <v>1865</v>
      </c>
      <c r="E623" s="18">
        <f>COUNTIF(Questions!D:D,D623)</f>
        <v>2</v>
      </c>
      <c r="F623" s="18" t="s">
        <v>1869</v>
      </c>
      <c r="G623" s="18" t="s">
        <v>2126</v>
      </c>
      <c r="H623" s="18" t="s">
        <v>1867</v>
      </c>
      <c r="I623" s="18">
        <f>COUNTIF(Questions!H:H,H623)</f>
        <v>2</v>
      </c>
      <c r="J623" s="17">
        <v>23</v>
      </c>
    </row>
    <row r="624" spans="1:10" ht="22" customHeight="1" x14ac:dyDescent="0.35">
      <c r="A624" s="25" t="s">
        <v>1870</v>
      </c>
      <c r="B624" s="25"/>
      <c r="C624" s="26" t="s">
        <v>8</v>
      </c>
      <c r="D624" s="27" t="s">
        <v>1871</v>
      </c>
      <c r="E624" s="27">
        <f>COUNTIF(Questions!D:D,D624)</f>
        <v>2</v>
      </c>
      <c r="F624" s="27" t="s">
        <v>1872</v>
      </c>
      <c r="G624" s="27" t="s">
        <v>11</v>
      </c>
      <c r="H624" s="27" t="s">
        <v>1873</v>
      </c>
      <c r="I624" s="27">
        <f>COUNTIF(Questions!H:H,H624)</f>
        <v>2</v>
      </c>
      <c r="J624" s="26"/>
    </row>
    <row r="625" spans="1:13" ht="22" customHeight="1" x14ac:dyDescent="0.35">
      <c r="A625" s="25" t="s">
        <v>1874</v>
      </c>
      <c r="B625" s="25"/>
      <c r="C625" s="26" t="s">
        <v>216</v>
      </c>
      <c r="D625" s="27" t="s">
        <v>1875</v>
      </c>
      <c r="E625" s="27">
        <f>COUNTIF(Questions!D:D,D625)</f>
        <v>2</v>
      </c>
      <c r="F625" s="27" t="s">
        <v>1876</v>
      </c>
      <c r="G625" s="27" t="s">
        <v>2124</v>
      </c>
      <c r="H625" s="27" t="s">
        <v>1877</v>
      </c>
      <c r="I625" s="27">
        <f>COUNTIF(Questions!H:H,H625)</f>
        <v>2</v>
      </c>
      <c r="J625" s="26"/>
    </row>
    <row r="626" spans="1:13" ht="22" customHeight="1" x14ac:dyDescent="0.35">
      <c r="A626" s="25" t="s">
        <v>1878</v>
      </c>
      <c r="B626" s="25"/>
      <c r="C626" s="26" t="s">
        <v>8</v>
      </c>
      <c r="D626" s="27" t="s">
        <v>1871</v>
      </c>
      <c r="E626" s="27">
        <f>COUNTIF(Questions!D:D,D626)</f>
        <v>2</v>
      </c>
      <c r="F626" s="27" t="s">
        <v>1879</v>
      </c>
      <c r="G626" s="27" t="s">
        <v>11</v>
      </c>
      <c r="H626" s="27" t="s">
        <v>1873</v>
      </c>
      <c r="I626" s="27">
        <f>COUNTIF(Questions!H:H,H626)</f>
        <v>2</v>
      </c>
      <c r="J626" s="26"/>
    </row>
    <row r="627" spans="1:13" ht="22" customHeight="1" x14ac:dyDescent="0.35">
      <c r="A627" s="25" t="s">
        <v>1880</v>
      </c>
      <c r="B627" s="25"/>
      <c r="C627" s="26" t="s">
        <v>216</v>
      </c>
      <c r="D627" s="27" t="s">
        <v>1875</v>
      </c>
      <c r="E627" s="27">
        <f>COUNTIF(Questions!D:D,D627)</f>
        <v>2</v>
      </c>
      <c r="F627" s="27" t="s">
        <v>1881</v>
      </c>
      <c r="G627" s="27" t="s">
        <v>2124</v>
      </c>
      <c r="H627" s="27" t="s">
        <v>1877</v>
      </c>
      <c r="I627" s="27">
        <f>COUNTIF(Questions!H:H,H627)</f>
        <v>2</v>
      </c>
      <c r="J627" s="26"/>
    </row>
    <row r="628" spans="1:13" ht="22" customHeight="1" x14ac:dyDescent="0.35">
      <c r="A628" s="52" t="s">
        <v>1882</v>
      </c>
      <c r="B628" s="52"/>
      <c r="C628" s="53" t="s">
        <v>92</v>
      </c>
      <c r="D628" s="54" t="s">
        <v>1883</v>
      </c>
      <c r="E628" s="54">
        <f>COUNTIF(Questions!D:D,D628)</f>
        <v>2</v>
      </c>
      <c r="F628" s="54" t="s">
        <v>1884</v>
      </c>
      <c r="G628" s="54" t="s">
        <v>2125</v>
      </c>
      <c r="H628" s="54" t="s">
        <v>1885</v>
      </c>
      <c r="I628" s="54">
        <f>COUNTIF(Questions!H:H,H628)</f>
        <v>2</v>
      </c>
      <c r="J628" s="53"/>
    </row>
    <row r="629" spans="1:13" ht="22" customHeight="1" x14ac:dyDescent="0.35">
      <c r="A629" s="52" t="s">
        <v>1886</v>
      </c>
      <c r="B629" s="52"/>
      <c r="C629" s="53" t="s">
        <v>92</v>
      </c>
      <c r="D629" s="54" t="s">
        <v>1883</v>
      </c>
      <c r="E629" s="54">
        <f>COUNTIF(Questions!D:D,D629)</f>
        <v>2</v>
      </c>
      <c r="F629" s="54" t="s">
        <v>1887</v>
      </c>
      <c r="G629" s="54" t="s">
        <v>2125</v>
      </c>
      <c r="H629" s="54" t="s">
        <v>1885</v>
      </c>
      <c r="I629" s="54">
        <f>COUNTIF(Questions!H:H,H629)</f>
        <v>2</v>
      </c>
      <c r="J629" s="53"/>
    </row>
    <row r="630" spans="1:13" ht="22" customHeight="1" x14ac:dyDescent="0.35">
      <c r="A630" s="52" t="s">
        <v>1888</v>
      </c>
      <c r="B630" s="52"/>
      <c r="C630" s="53" t="s">
        <v>92</v>
      </c>
      <c r="D630" s="54" t="s">
        <v>1889</v>
      </c>
      <c r="E630" s="54">
        <f>COUNTIF(Questions!D:D,D630)</f>
        <v>2</v>
      </c>
      <c r="F630" s="54" t="s">
        <v>1890</v>
      </c>
      <c r="G630" s="54" t="s">
        <v>2125</v>
      </c>
      <c r="H630" s="54" t="s">
        <v>1889</v>
      </c>
      <c r="I630" s="54">
        <f>COUNTIF(Questions!H:H,H630)</f>
        <v>2</v>
      </c>
      <c r="J630" s="53"/>
    </row>
    <row r="631" spans="1:13" ht="22" customHeight="1" x14ac:dyDescent="0.35">
      <c r="A631" s="52" t="s">
        <v>1891</v>
      </c>
      <c r="B631" s="52"/>
      <c r="C631" s="53" t="s">
        <v>92</v>
      </c>
      <c r="D631" s="54" t="s">
        <v>1889</v>
      </c>
      <c r="E631" s="54">
        <f>COUNTIF(Questions!D:D,D631)</f>
        <v>2</v>
      </c>
      <c r="F631" s="54" t="s">
        <v>1892</v>
      </c>
      <c r="G631" s="54" t="s">
        <v>2125</v>
      </c>
      <c r="H631" s="54" t="s">
        <v>1889</v>
      </c>
      <c r="I631" s="54">
        <f>COUNTIF(Questions!H:H,H631)</f>
        <v>2</v>
      </c>
      <c r="J631" s="53">
        <v>23</v>
      </c>
    </row>
    <row r="632" spans="1:13" ht="22" customHeight="1" x14ac:dyDescent="0.35">
      <c r="A632" s="6" t="s">
        <v>1893</v>
      </c>
      <c r="B632" s="6"/>
      <c r="C632" s="7" t="s">
        <v>24</v>
      </c>
      <c r="D632" s="8" t="s">
        <v>1845</v>
      </c>
      <c r="E632" s="8">
        <f>COUNTIF(Questions!D:D,D632)</f>
        <v>2</v>
      </c>
      <c r="F632" s="8" t="s">
        <v>1894</v>
      </c>
      <c r="G632" s="8" t="s">
        <v>27</v>
      </c>
      <c r="H632" s="8" t="s">
        <v>1847</v>
      </c>
      <c r="I632" s="8">
        <f>COUNTIF(Questions!H:H,H632)</f>
        <v>2</v>
      </c>
      <c r="J632" s="7"/>
    </row>
    <row r="633" spans="1:13" ht="26" x14ac:dyDescent="0.35">
      <c r="A633" s="6" t="s">
        <v>1895</v>
      </c>
      <c r="B633" s="6"/>
      <c r="C633" s="7" t="s">
        <v>50</v>
      </c>
      <c r="D633" s="8" t="s">
        <v>1849</v>
      </c>
      <c r="E633" s="8">
        <f>COUNTIF(Questions!D:D,D633)</f>
        <v>2</v>
      </c>
      <c r="F633" s="8" t="s">
        <v>1896</v>
      </c>
      <c r="G633" s="8" t="s">
        <v>50</v>
      </c>
      <c r="H633" s="8" t="s">
        <v>1851</v>
      </c>
      <c r="I633" s="8">
        <f>COUNTIF(Questions!H:H,H633)</f>
        <v>2</v>
      </c>
      <c r="J633" s="7"/>
    </row>
    <row r="634" spans="1:13" ht="39" x14ac:dyDescent="0.35">
      <c r="A634" s="89" t="s">
        <v>1897</v>
      </c>
      <c r="B634" s="6"/>
      <c r="C634" s="90" t="s">
        <v>1898</v>
      </c>
      <c r="D634" s="88" t="s">
        <v>1899</v>
      </c>
      <c r="E634" s="8">
        <f>COUNTIF(Questions!D:D,D634)</f>
        <v>2</v>
      </c>
      <c r="F634" s="95" t="s">
        <v>1900</v>
      </c>
      <c r="G634" s="95" t="s">
        <v>2123</v>
      </c>
      <c r="H634" s="95" t="s">
        <v>1901</v>
      </c>
      <c r="I634" s="95">
        <f>COUNTIF(Questions!H:H,H634)</f>
        <v>2</v>
      </c>
    </row>
    <row r="635" spans="1:13" ht="39" x14ac:dyDescent="0.35">
      <c r="A635" s="89" t="s">
        <v>1902</v>
      </c>
      <c r="B635" s="6"/>
      <c r="C635" s="90" t="s">
        <v>1898</v>
      </c>
      <c r="D635" s="88" t="s">
        <v>1899</v>
      </c>
      <c r="E635" s="8">
        <f>COUNTIF(Questions!D:D,D635)</f>
        <v>2</v>
      </c>
      <c r="F635" s="95" t="s">
        <v>1903</v>
      </c>
      <c r="G635" s="97" t="s">
        <v>2123</v>
      </c>
      <c r="H635" s="95" t="s">
        <v>1901</v>
      </c>
      <c r="I635" s="95">
        <f>COUNTIF(Questions!H:H,H635)</f>
        <v>2</v>
      </c>
    </row>
    <row r="636" spans="1:13" ht="26" x14ac:dyDescent="0.35">
      <c r="A636" s="89" t="s">
        <v>1904</v>
      </c>
      <c r="B636" s="6"/>
      <c r="C636" s="90" t="s">
        <v>1905</v>
      </c>
      <c r="D636" s="88" t="s">
        <v>1906</v>
      </c>
      <c r="E636" s="8">
        <f>COUNTIF(Questions!D:D,D636)</f>
        <v>2</v>
      </c>
      <c r="F636" s="95" t="s">
        <v>1907</v>
      </c>
      <c r="G636" s="95" t="s">
        <v>2122</v>
      </c>
      <c r="H636" s="95" t="s">
        <v>1908</v>
      </c>
      <c r="I636" s="95">
        <f>COUNTIF(Questions!H:H,H636)</f>
        <v>2</v>
      </c>
      <c r="M636" t="s">
        <v>1909</v>
      </c>
    </row>
    <row r="637" spans="1:13" ht="26" x14ac:dyDescent="0.35">
      <c r="A637" s="89" t="s">
        <v>1910</v>
      </c>
      <c r="B637" s="6"/>
      <c r="C637" s="90" t="s">
        <v>1905</v>
      </c>
      <c r="D637" s="88" t="s">
        <v>1906</v>
      </c>
      <c r="E637" s="8">
        <f>COUNTIF(Questions!D:D,D637)</f>
        <v>2</v>
      </c>
      <c r="F637" s="95" t="s">
        <v>1911</v>
      </c>
      <c r="G637" s="95" t="s">
        <v>2122</v>
      </c>
      <c r="H637" s="95" t="s">
        <v>1908</v>
      </c>
      <c r="I637" s="95">
        <f>COUNTIF(Questions!H:H,H637)</f>
        <v>2</v>
      </c>
      <c r="M637" t="s">
        <v>1912</v>
      </c>
    </row>
    <row r="638" spans="1:13" x14ac:dyDescent="0.35">
      <c r="A638" s="89" t="s">
        <v>1913</v>
      </c>
      <c r="B638" s="6"/>
      <c r="C638" s="90" t="s">
        <v>1905</v>
      </c>
      <c r="D638" s="88" t="s">
        <v>1914</v>
      </c>
      <c r="E638" s="8">
        <f>COUNTIF(Questions!D:D,D638)</f>
        <v>2</v>
      </c>
      <c r="F638" s="95" t="s">
        <v>1915</v>
      </c>
      <c r="G638" s="95" t="s">
        <v>2122</v>
      </c>
      <c r="H638" s="95" t="s">
        <v>1916</v>
      </c>
      <c r="I638" s="95">
        <f>COUNTIF(Questions!H:H,H638)</f>
        <v>2</v>
      </c>
    </row>
    <row r="639" spans="1:13" ht="26" x14ac:dyDescent="0.35">
      <c r="A639" s="89" t="s">
        <v>1917</v>
      </c>
      <c r="B639" s="6"/>
      <c r="C639" s="90" t="s">
        <v>1905</v>
      </c>
      <c r="D639" s="88" t="s">
        <v>1914</v>
      </c>
      <c r="E639" s="8">
        <f>COUNTIF(Questions!D:D,D639)</f>
        <v>2</v>
      </c>
      <c r="F639" s="95" t="s">
        <v>1918</v>
      </c>
      <c r="G639" s="95" t="s">
        <v>2122</v>
      </c>
      <c r="H639" s="95" t="s">
        <v>1916</v>
      </c>
      <c r="I639" s="95">
        <f>COUNTIF(Questions!H:H,H639)</f>
        <v>2</v>
      </c>
      <c r="M639" t="s">
        <v>1919</v>
      </c>
    </row>
    <row r="640" spans="1:13" ht="26" x14ac:dyDescent="0.35">
      <c r="A640" s="89" t="s">
        <v>1920</v>
      </c>
      <c r="B640" s="6"/>
      <c r="C640" s="90" t="s">
        <v>1905</v>
      </c>
      <c r="D640" s="88" t="s">
        <v>1921</v>
      </c>
      <c r="E640" s="8">
        <f>COUNTIF(Questions!D:D,D640)</f>
        <v>2</v>
      </c>
      <c r="F640" s="95" t="s">
        <v>1922</v>
      </c>
      <c r="G640" s="95" t="s">
        <v>2122</v>
      </c>
      <c r="H640" s="95" t="s">
        <v>1923</v>
      </c>
      <c r="I640" s="95">
        <f>COUNTIF(Questions!H:H,H640)</f>
        <v>2</v>
      </c>
    </row>
    <row r="641" spans="1:9" ht="26" x14ac:dyDescent="0.35">
      <c r="A641" s="89" t="s">
        <v>1924</v>
      </c>
      <c r="B641" s="6"/>
      <c r="C641" s="90" t="s">
        <v>1905</v>
      </c>
      <c r="D641" s="88" t="s">
        <v>1921</v>
      </c>
      <c r="E641" s="8">
        <f>COUNTIF(Questions!D:D,D641)</f>
        <v>2</v>
      </c>
      <c r="F641" s="95" t="s">
        <v>1925</v>
      </c>
      <c r="G641" s="95" t="s">
        <v>2122</v>
      </c>
      <c r="H641" s="95" t="s">
        <v>1923</v>
      </c>
      <c r="I641" s="95">
        <f>COUNTIF(Questions!H:H,H641)</f>
        <v>2</v>
      </c>
    </row>
    <row r="642" spans="1:9" ht="25" customHeight="1" x14ac:dyDescent="0.35">
      <c r="A642" s="89" t="s">
        <v>1926</v>
      </c>
      <c r="B642" s="6"/>
      <c r="C642" s="90" t="s">
        <v>1898</v>
      </c>
      <c r="D642" s="88" t="s">
        <v>1927</v>
      </c>
      <c r="E642" s="8">
        <f>COUNTIF(Questions!D:D,D642)</f>
        <v>2</v>
      </c>
      <c r="F642" s="95" t="s">
        <v>1928</v>
      </c>
      <c r="G642" s="95" t="s">
        <v>2123</v>
      </c>
      <c r="H642" s="95" t="s">
        <v>1929</v>
      </c>
      <c r="I642" s="95">
        <f>COUNTIF(Questions!H:H,H642)</f>
        <v>2</v>
      </c>
    </row>
    <row r="643" spans="1:9" ht="25" customHeight="1" x14ac:dyDescent="0.35">
      <c r="A643" s="89" t="s">
        <v>1930</v>
      </c>
      <c r="B643" s="6"/>
      <c r="C643" s="90" t="s">
        <v>1898</v>
      </c>
      <c r="D643" s="88" t="s">
        <v>1927</v>
      </c>
      <c r="E643" s="8">
        <f>COUNTIF(Questions!D:D,D643)</f>
        <v>2</v>
      </c>
      <c r="F643" s="95" t="s">
        <v>1931</v>
      </c>
      <c r="G643" s="95" t="s">
        <v>2123</v>
      </c>
      <c r="H643" s="95" t="s">
        <v>1929</v>
      </c>
      <c r="I643" s="95">
        <f>COUNTIF(Questions!H:H,H643)</f>
        <v>2</v>
      </c>
    </row>
    <row r="644" spans="1:9" ht="25" customHeight="1" x14ac:dyDescent="0.35">
      <c r="A644" s="89" t="s">
        <v>1932</v>
      </c>
      <c r="B644" s="6"/>
      <c r="C644" s="90" t="s">
        <v>1898</v>
      </c>
      <c r="D644" s="88" t="s">
        <v>1933</v>
      </c>
      <c r="E644" s="8">
        <f>COUNTIF(Questions!D:D,D644)</f>
        <v>2</v>
      </c>
      <c r="F644" s="95" t="s">
        <v>1934</v>
      </c>
      <c r="G644" s="95" t="s">
        <v>2123</v>
      </c>
      <c r="H644" s="95" t="s">
        <v>1935</v>
      </c>
      <c r="I644" s="95">
        <f>COUNTIF(Questions!H:H,H644)</f>
        <v>2</v>
      </c>
    </row>
    <row r="645" spans="1:9" ht="25" customHeight="1" x14ac:dyDescent="0.35">
      <c r="A645" s="89" t="s">
        <v>1936</v>
      </c>
      <c r="B645" s="6"/>
      <c r="C645" s="90" t="s">
        <v>1898</v>
      </c>
      <c r="D645" s="88" t="s">
        <v>1933</v>
      </c>
      <c r="E645" s="8">
        <f>COUNTIF(Questions!D:D,D645)</f>
        <v>2</v>
      </c>
      <c r="F645" s="95" t="s">
        <v>1937</v>
      </c>
      <c r="G645" s="95" t="s">
        <v>2123</v>
      </c>
      <c r="H645" s="95" t="s">
        <v>1935</v>
      </c>
      <c r="I645" s="95">
        <f>COUNTIF(Questions!H:H,H645)</f>
        <v>2</v>
      </c>
    </row>
    <row r="646" spans="1:9" ht="39" x14ac:dyDescent="0.35">
      <c r="A646" s="89" t="s">
        <v>1938</v>
      </c>
      <c r="B646" s="6"/>
      <c r="C646" s="90" t="s">
        <v>1898</v>
      </c>
      <c r="D646" s="88" t="s">
        <v>1939</v>
      </c>
      <c r="E646" s="8">
        <f>COUNTIF(Questions!D:D,D646)</f>
        <v>2</v>
      </c>
      <c r="F646" s="95" t="s">
        <v>1940</v>
      </c>
      <c r="G646" s="95" t="s">
        <v>2123</v>
      </c>
      <c r="H646" s="95" t="s">
        <v>1941</v>
      </c>
      <c r="I646" s="95">
        <f>COUNTIF(Questions!H:H,H646)</f>
        <v>2</v>
      </c>
    </row>
    <row r="647" spans="1:9" ht="39" x14ac:dyDescent="0.35">
      <c r="A647" s="89" t="s">
        <v>1942</v>
      </c>
      <c r="B647" s="6"/>
      <c r="C647" s="90" t="s">
        <v>1898</v>
      </c>
      <c r="D647" s="88" t="s">
        <v>1939</v>
      </c>
      <c r="E647" s="8">
        <f>COUNTIF(Questions!D:D,D647)</f>
        <v>2</v>
      </c>
      <c r="F647" s="95" t="s">
        <v>1943</v>
      </c>
      <c r="G647" s="95" t="s">
        <v>2123</v>
      </c>
      <c r="H647" s="95" t="s">
        <v>1941</v>
      </c>
      <c r="I647" s="95">
        <f>COUNTIF(Questions!H:H,H647)</f>
        <v>2</v>
      </c>
    </row>
    <row r="648" spans="1:9" ht="25" customHeight="1" x14ac:dyDescent="0.35">
      <c r="A648" s="89" t="s">
        <v>1944</v>
      </c>
      <c r="B648" s="6"/>
      <c r="C648" s="90" t="s">
        <v>1898</v>
      </c>
      <c r="D648" s="88" t="s">
        <v>1945</v>
      </c>
      <c r="E648" s="8">
        <f>COUNTIF(Questions!D:D,D648)</f>
        <v>2</v>
      </c>
      <c r="F648" s="95" t="s">
        <v>1946</v>
      </c>
      <c r="G648" s="95" t="s">
        <v>2123</v>
      </c>
      <c r="H648" s="95" t="s">
        <v>1947</v>
      </c>
      <c r="I648" s="95">
        <f>COUNTIF(Questions!H:H,H648)</f>
        <v>2</v>
      </c>
    </row>
    <row r="649" spans="1:9" ht="25" customHeight="1" x14ac:dyDescent="0.35">
      <c r="A649" s="89" t="s">
        <v>1948</v>
      </c>
      <c r="B649" s="6"/>
      <c r="C649" s="90" t="s">
        <v>1898</v>
      </c>
      <c r="D649" s="88" t="s">
        <v>1945</v>
      </c>
      <c r="E649" s="8">
        <f>COUNTIF(Questions!D:D,D649)</f>
        <v>2</v>
      </c>
      <c r="F649" s="95" t="s">
        <v>1949</v>
      </c>
      <c r="G649" s="95" t="s">
        <v>2123</v>
      </c>
      <c r="H649" s="95" t="s">
        <v>1947</v>
      </c>
      <c r="I649" s="95">
        <f>COUNTIF(Questions!H:H,H649)</f>
        <v>2</v>
      </c>
    </row>
    <row r="650" spans="1:9" ht="25" customHeight="1" x14ac:dyDescent="0.35">
      <c r="A650" s="89" t="s">
        <v>1950</v>
      </c>
      <c r="B650" s="6"/>
      <c r="C650" s="90" t="s">
        <v>1898</v>
      </c>
      <c r="D650" s="88" t="s">
        <v>1951</v>
      </c>
      <c r="E650" s="8">
        <f>COUNTIF(Questions!D:D,D650)</f>
        <v>2</v>
      </c>
      <c r="F650" s="95" t="s">
        <v>1952</v>
      </c>
      <c r="G650" s="95" t="s">
        <v>2123</v>
      </c>
      <c r="H650" s="95" t="s">
        <v>1953</v>
      </c>
      <c r="I650" s="95">
        <f>COUNTIF(Questions!H:H,H650)</f>
        <v>2</v>
      </c>
    </row>
    <row r="651" spans="1:9" ht="25" customHeight="1" x14ac:dyDescent="0.35">
      <c r="A651" s="89" t="s">
        <v>1954</v>
      </c>
      <c r="B651" s="6"/>
      <c r="C651" s="90" t="s">
        <v>1898</v>
      </c>
      <c r="D651" s="88" t="s">
        <v>1951</v>
      </c>
      <c r="E651" s="8">
        <f>COUNTIF(Questions!D:D,D651)</f>
        <v>2</v>
      </c>
      <c r="F651" s="95" t="s">
        <v>1955</v>
      </c>
      <c r="G651" s="95" t="s">
        <v>2123</v>
      </c>
      <c r="H651" s="95" t="s">
        <v>1953</v>
      </c>
      <c r="I651" s="95">
        <f>COUNTIF(Questions!H:H,H651)</f>
        <v>2</v>
      </c>
    </row>
    <row r="652" spans="1:9" ht="25" customHeight="1" x14ac:dyDescent="0.35">
      <c r="A652" s="89" t="s">
        <v>1956</v>
      </c>
      <c r="B652" s="6"/>
      <c r="C652" s="90" t="s">
        <v>1898</v>
      </c>
      <c r="D652" s="88" t="s">
        <v>1957</v>
      </c>
      <c r="E652" s="8">
        <f>COUNTIF(Questions!D:D,D652)</f>
        <v>2</v>
      </c>
      <c r="F652" s="95" t="s">
        <v>1958</v>
      </c>
      <c r="G652" s="95" t="s">
        <v>2123</v>
      </c>
      <c r="H652" s="95" t="s">
        <v>1959</v>
      </c>
      <c r="I652" s="95">
        <f>COUNTIF(Questions!H:H,H652)</f>
        <v>2</v>
      </c>
    </row>
    <row r="653" spans="1:9" ht="39" x14ac:dyDescent="0.35">
      <c r="A653" s="89" t="s">
        <v>1960</v>
      </c>
      <c r="B653" s="6"/>
      <c r="C653" s="90" t="s">
        <v>1898</v>
      </c>
      <c r="D653" s="88" t="s">
        <v>1957</v>
      </c>
      <c r="E653" s="8">
        <f>COUNTIF(Questions!D:D,D653)</f>
        <v>2</v>
      </c>
      <c r="F653" s="95" t="s">
        <v>1961</v>
      </c>
      <c r="G653" s="95" t="s">
        <v>2123</v>
      </c>
      <c r="H653" s="95" t="s">
        <v>1959</v>
      </c>
      <c r="I653" s="95">
        <f>COUNTIF(Questions!H:H,H653)</f>
        <v>2</v>
      </c>
    </row>
    <row r="654" spans="1:9" ht="39" x14ac:dyDescent="0.35">
      <c r="A654" s="89" t="s">
        <v>1962</v>
      </c>
      <c r="B654" s="6"/>
      <c r="C654" s="90" t="s">
        <v>1898</v>
      </c>
      <c r="D654" s="88" t="s">
        <v>1963</v>
      </c>
      <c r="E654" s="8">
        <f>COUNTIF(Questions!D:D,D654)</f>
        <v>2</v>
      </c>
      <c r="F654" s="95" t="s">
        <v>1964</v>
      </c>
      <c r="G654" s="95" t="s">
        <v>2123</v>
      </c>
      <c r="H654" s="95" t="s">
        <v>1965</v>
      </c>
      <c r="I654" s="95">
        <f>COUNTIF(Questions!H:H,H654)</f>
        <v>2</v>
      </c>
    </row>
    <row r="655" spans="1:9" ht="39" x14ac:dyDescent="0.35">
      <c r="A655" s="89" t="s">
        <v>1966</v>
      </c>
      <c r="B655" s="6"/>
      <c r="C655" s="90" t="s">
        <v>1898</v>
      </c>
      <c r="D655" s="88" t="s">
        <v>1963</v>
      </c>
      <c r="E655" s="8">
        <f>COUNTIF(Questions!D:D,D655)</f>
        <v>2</v>
      </c>
      <c r="F655" s="95" t="s">
        <v>1967</v>
      </c>
      <c r="G655" s="95" t="s">
        <v>2123</v>
      </c>
      <c r="H655" s="95" t="s">
        <v>1965</v>
      </c>
      <c r="I655" s="95">
        <f>COUNTIF(Questions!H:H,H655)</f>
        <v>2</v>
      </c>
    </row>
    <row r="656" spans="1:9" ht="25" customHeight="1" x14ac:dyDescent="0.35">
      <c r="A656" s="89" t="s">
        <v>1968</v>
      </c>
      <c r="B656" s="6"/>
      <c r="C656" s="90" t="s">
        <v>1898</v>
      </c>
      <c r="D656" s="88" t="s">
        <v>1969</v>
      </c>
      <c r="E656" s="8">
        <f>COUNTIF(Questions!D:D,D656)</f>
        <v>2</v>
      </c>
      <c r="F656" s="95" t="s">
        <v>1970</v>
      </c>
      <c r="G656" s="95" t="s">
        <v>2123</v>
      </c>
      <c r="H656" s="95" t="s">
        <v>1971</v>
      </c>
      <c r="I656" s="95">
        <f>COUNTIF(Questions!H:H,H656)</f>
        <v>2</v>
      </c>
    </row>
    <row r="657" spans="1:9" ht="25" customHeight="1" x14ac:dyDescent="0.35">
      <c r="A657" s="89" t="s">
        <v>1972</v>
      </c>
      <c r="B657" s="6"/>
      <c r="C657" s="90" t="s">
        <v>1898</v>
      </c>
      <c r="D657" s="88" t="s">
        <v>1969</v>
      </c>
      <c r="E657" s="8">
        <f>COUNTIF(Questions!D:D,D657)</f>
        <v>2</v>
      </c>
      <c r="F657" s="95" t="s">
        <v>1973</v>
      </c>
      <c r="G657" s="95" t="s">
        <v>2123</v>
      </c>
      <c r="H657" s="95" t="s">
        <v>1971</v>
      </c>
      <c r="I657" s="95">
        <f>COUNTIF(Questions!H:H,H657)</f>
        <v>2</v>
      </c>
    </row>
    <row r="658" spans="1:9" ht="25" customHeight="1" x14ac:dyDescent="0.35">
      <c r="A658" s="89" t="s">
        <v>1974</v>
      </c>
      <c r="B658" s="6"/>
      <c r="C658" s="90" t="s">
        <v>1898</v>
      </c>
      <c r="D658" s="88" t="s">
        <v>1975</v>
      </c>
      <c r="E658" s="8">
        <f>COUNTIF(Questions!D:D,D658)</f>
        <v>2</v>
      </c>
      <c r="F658" s="95" t="s">
        <v>1976</v>
      </c>
      <c r="G658" s="95" t="s">
        <v>2123</v>
      </c>
      <c r="H658" s="95" t="s">
        <v>1977</v>
      </c>
      <c r="I658" s="95">
        <f>COUNTIF(Questions!H:H,H658)</f>
        <v>2</v>
      </c>
    </row>
    <row r="659" spans="1:9" ht="25" customHeight="1" x14ac:dyDescent="0.35">
      <c r="A659" s="89" t="s">
        <v>1978</v>
      </c>
      <c r="B659" s="6"/>
      <c r="C659" s="90" t="s">
        <v>1898</v>
      </c>
      <c r="D659" s="88" t="s">
        <v>1975</v>
      </c>
      <c r="E659" s="8">
        <f>COUNTIF(Questions!D:D,D659)</f>
        <v>2</v>
      </c>
      <c r="F659" s="95" t="s">
        <v>1979</v>
      </c>
      <c r="G659" s="95" t="s">
        <v>2123</v>
      </c>
      <c r="H659" s="95" t="s">
        <v>1977</v>
      </c>
      <c r="I659" s="95">
        <f>COUNTIF(Questions!H:H,H659)</f>
        <v>2</v>
      </c>
    </row>
    <row r="660" spans="1:9" ht="26" x14ac:dyDescent="0.35">
      <c r="A660" s="89" t="s">
        <v>1980</v>
      </c>
      <c r="B660" s="6"/>
      <c r="C660" s="90" t="s">
        <v>1905</v>
      </c>
      <c r="D660" s="88" t="s">
        <v>1981</v>
      </c>
      <c r="E660" s="8">
        <f>COUNTIF(Questions!D:D,D660)</f>
        <v>2</v>
      </c>
      <c r="F660" s="95" t="s">
        <v>1982</v>
      </c>
      <c r="G660" s="95" t="s">
        <v>2122</v>
      </c>
      <c r="H660" s="95" t="s">
        <v>1983</v>
      </c>
      <c r="I660" s="95">
        <f>COUNTIF(Questions!H:H,H660)</f>
        <v>2</v>
      </c>
    </row>
    <row r="661" spans="1:9" ht="26" x14ac:dyDescent="0.35">
      <c r="A661" s="89" t="s">
        <v>1984</v>
      </c>
      <c r="B661" s="6"/>
      <c r="C661" s="90" t="s">
        <v>1905</v>
      </c>
      <c r="D661" s="88" t="s">
        <v>1981</v>
      </c>
      <c r="E661" s="8">
        <f>COUNTIF(Questions!D:D,D661)</f>
        <v>2</v>
      </c>
      <c r="F661" s="95" t="s">
        <v>1985</v>
      </c>
      <c r="G661" s="95" t="s">
        <v>2122</v>
      </c>
      <c r="H661" s="95" t="s">
        <v>1983</v>
      </c>
      <c r="I661" s="95">
        <f>COUNTIF(Questions!H:H,H661)</f>
        <v>2</v>
      </c>
    </row>
    <row r="662" spans="1:9" ht="25" customHeight="1" x14ac:dyDescent="0.35">
      <c r="A662" s="89" t="s">
        <v>1986</v>
      </c>
      <c r="B662" s="6"/>
      <c r="C662" s="90" t="s">
        <v>1905</v>
      </c>
      <c r="D662" s="88" t="s">
        <v>1987</v>
      </c>
      <c r="E662" s="8">
        <f>COUNTIF(Questions!D:D,D662)</f>
        <v>2</v>
      </c>
      <c r="F662" s="95" t="s">
        <v>1988</v>
      </c>
      <c r="G662" s="95" t="s">
        <v>2122</v>
      </c>
      <c r="H662" s="95" t="s">
        <v>1989</v>
      </c>
      <c r="I662" s="95">
        <f>COUNTIF(Questions!H:H,H662)</f>
        <v>2</v>
      </c>
    </row>
    <row r="663" spans="1:9" ht="26" x14ac:dyDescent="0.35">
      <c r="A663" s="89" t="s">
        <v>1990</v>
      </c>
      <c r="B663" s="6"/>
      <c r="C663" s="90" t="s">
        <v>1905</v>
      </c>
      <c r="D663" s="88" t="s">
        <v>1987</v>
      </c>
      <c r="E663" s="8">
        <f>COUNTIF(Questions!D:D,D663)</f>
        <v>2</v>
      </c>
      <c r="F663" s="95" t="s">
        <v>1991</v>
      </c>
      <c r="G663" s="95" t="s">
        <v>2122</v>
      </c>
      <c r="H663" s="95" t="s">
        <v>1989</v>
      </c>
      <c r="I663" s="95">
        <f>COUNTIF(Questions!H:H,H663)</f>
        <v>2</v>
      </c>
    </row>
    <row r="664" spans="1:9" ht="39" x14ac:dyDescent="0.35">
      <c r="A664" s="89" t="s">
        <v>1992</v>
      </c>
      <c r="B664" s="6"/>
      <c r="C664" s="90" t="s">
        <v>1905</v>
      </c>
      <c r="D664" s="88" t="s">
        <v>1993</v>
      </c>
      <c r="E664" s="8">
        <f>COUNTIF(Questions!D:D,D664)</f>
        <v>2</v>
      </c>
      <c r="F664" s="95" t="s">
        <v>1994</v>
      </c>
      <c r="G664" s="95" t="s">
        <v>2122</v>
      </c>
      <c r="H664" s="95" t="s">
        <v>1995</v>
      </c>
      <c r="I664" s="95">
        <f>COUNTIF(Questions!H:H,H664)</f>
        <v>2</v>
      </c>
    </row>
    <row r="665" spans="1:9" ht="39" x14ac:dyDescent="0.35">
      <c r="A665" s="89" t="s">
        <v>1996</v>
      </c>
      <c r="B665" s="6"/>
      <c r="C665" s="90" t="s">
        <v>1905</v>
      </c>
      <c r="D665" s="88" t="s">
        <v>1993</v>
      </c>
      <c r="E665" s="8">
        <f>COUNTIF(Questions!D:D,D665)</f>
        <v>2</v>
      </c>
      <c r="F665" s="95" t="s">
        <v>1997</v>
      </c>
      <c r="G665" s="95" t="s">
        <v>2122</v>
      </c>
      <c r="H665" s="95" t="s">
        <v>1995</v>
      </c>
      <c r="I665" s="95">
        <f>COUNTIF(Questions!H:H,H665)</f>
        <v>2</v>
      </c>
    </row>
    <row r="666" spans="1:9" ht="25" customHeight="1" x14ac:dyDescent="0.35">
      <c r="A666" s="89" t="s">
        <v>1998</v>
      </c>
      <c r="B666" s="6"/>
      <c r="C666" s="90" t="s">
        <v>1905</v>
      </c>
      <c r="D666" s="88" t="s">
        <v>1999</v>
      </c>
      <c r="E666" s="8">
        <f>COUNTIF(Questions!D:D,D666)</f>
        <v>2</v>
      </c>
      <c r="F666" s="95" t="s">
        <v>2000</v>
      </c>
      <c r="G666" s="95" t="s">
        <v>2122</v>
      </c>
      <c r="H666" s="95" t="s">
        <v>2001</v>
      </c>
      <c r="I666" s="95">
        <f>COUNTIF(Questions!H:H,H666)</f>
        <v>2</v>
      </c>
    </row>
    <row r="667" spans="1:9" ht="26" x14ac:dyDescent="0.35">
      <c r="A667" s="89" t="s">
        <v>2002</v>
      </c>
      <c r="B667" s="6"/>
      <c r="C667" s="90" t="s">
        <v>1905</v>
      </c>
      <c r="D667" s="88" t="s">
        <v>1999</v>
      </c>
      <c r="E667" s="8">
        <f>COUNTIF(Questions!D:D,D667)</f>
        <v>2</v>
      </c>
      <c r="F667" s="95" t="s">
        <v>2003</v>
      </c>
      <c r="G667" s="95" t="s">
        <v>2122</v>
      </c>
      <c r="H667" s="95" t="s">
        <v>2001</v>
      </c>
      <c r="I667" s="95">
        <f>COUNTIF(Questions!H:H,H667)</f>
        <v>2</v>
      </c>
    </row>
    <row r="668" spans="1:9" ht="26" x14ac:dyDescent="0.35">
      <c r="A668" s="89" t="s">
        <v>2004</v>
      </c>
      <c r="B668" s="6"/>
      <c r="C668" s="90" t="s">
        <v>1905</v>
      </c>
      <c r="D668" s="88" t="s">
        <v>2005</v>
      </c>
      <c r="E668" s="8">
        <f>COUNTIF(Questions!D:D,D668)</f>
        <v>2</v>
      </c>
      <c r="F668" s="95" t="s">
        <v>2006</v>
      </c>
      <c r="G668" s="95" t="s">
        <v>2122</v>
      </c>
      <c r="H668" s="95" t="s">
        <v>2007</v>
      </c>
      <c r="I668" s="95">
        <f>COUNTIF(Questions!H:H,H668)</f>
        <v>2</v>
      </c>
    </row>
    <row r="669" spans="1:9" ht="26" x14ac:dyDescent="0.35">
      <c r="A669" s="89" t="s">
        <v>2008</v>
      </c>
      <c r="B669" s="6"/>
      <c r="C669" s="90" t="s">
        <v>1905</v>
      </c>
      <c r="D669" s="88" t="s">
        <v>2005</v>
      </c>
      <c r="E669" s="8">
        <f>COUNTIF(Questions!D:D,D669)</f>
        <v>2</v>
      </c>
      <c r="F669" s="95" t="s">
        <v>2009</v>
      </c>
      <c r="G669" s="95" t="s">
        <v>2122</v>
      </c>
      <c r="H669" s="95" t="s">
        <v>2007</v>
      </c>
      <c r="I669" s="95">
        <f>COUNTIF(Questions!H:H,H669)</f>
        <v>2</v>
      </c>
    </row>
    <row r="670" spans="1:9" ht="26" x14ac:dyDescent="0.35">
      <c r="A670" s="89" t="s">
        <v>2010</v>
      </c>
      <c r="B670" s="6"/>
      <c r="C670" s="90" t="s">
        <v>1905</v>
      </c>
      <c r="D670" s="88" t="s">
        <v>2011</v>
      </c>
      <c r="E670" s="8">
        <f>COUNTIF(Questions!D:D,D670)</f>
        <v>2</v>
      </c>
      <c r="F670" s="95" t="s">
        <v>2012</v>
      </c>
      <c r="G670" s="95" t="s">
        <v>2122</v>
      </c>
      <c r="H670" s="95" t="s">
        <v>2013</v>
      </c>
      <c r="I670" s="95">
        <f>COUNTIF(Questions!H:H,H670)</f>
        <v>2</v>
      </c>
    </row>
    <row r="671" spans="1:9" ht="39" x14ac:dyDescent="0.35">
      <c r="A671" s="89" t="s">
        <v>2014</v>
      </c>
      <c r="B671" s="6"/>
      <c r="C671" s="90" t="s">
        <v>1905</v>
      </c>
      <c r="D671" s="88" t="s">
        <v>2011</v>
      </c>
      <c r="E671" s="8">
        <f>COUNTIF(Questions!D:D,D671)</f>
        <v>2</v>
      </c>
      <c r="F671" s="95" t="s">
        <v>2015</v>
      </c>
      <c r="G671" s="95" t="s">
        <v>2122</v>
      </c>
      <c r="H671" s="95" t="s">
        <v>2013</v>
      </c>
      <c r="I671" s="95">
        <f>COUNTIF(Questions!H:H,H671)</f>
        <v>2</v>
      </c>
    </row>
    <row r="672" spans="1:9" ht="26" x14ac:dyDescent="0.35">
      <c r="A672" s="89" t="s">
        <v>2016</v>
      </c>
      <c r="B672" s="6"/>
      <c r="C672" s="90" t="s">
        <v>1905</v>
      </c>
      <c r="D672" s="88" t="s">
        <v>2017</v>
      </c>
      <c r="E672" s="8">
        <f>COUNTIF(Questions!D:D,D672)</f>
        <v>2</v>
      </c>
      <c r="F672" s="95" t="s">
        <v>2018</v>
      </c>
      <c r="G672" s="95" t="s">
        <v>2122</v>
      </c>
      <c r="H672" s="97" t="s">
        <v>494</v>
      </c>
      <c r="I672" s="95">
        <f>COUNTIF(Questions!H:H,H672)</f>
        <v>2</v>
      </c>
    </row>
    <row r="673" spans="1:9" ht="26" x14ac:dyDescent="0.35">
      <c r="A673" s="89" t="s">
        <v>2019</v>
      </c>
      <c r="B673" s="6"/>
      <c r="C673" s="90" t="s">
        <v>1905</v>
      </c>
      <c r="D673" s="88" t="s">
        <v>2017</v>
      </c>
      <c r="E673" s="8">
        <f>COUNTIF(Questions!D:D,D673)</f>
        <v>2</v>
      </c>
      <c r="F673" s="95" t="s">
        <v>2020</v>
      </c>
      <c r="G673" s="95" t="s">
        <v>2122</v>
      </c>
      <c r="H673" s="95" t="s">
        <v>494</v>
      </c>
      <c r="I673" s="95">
        <f>COUNTIF(Questions!H:H,H673)</f>
        <v>2</v>
      </c>
    </row>
    <row r="674" spans="1:9" ht="39" x14ac:dyDescent="0.35">
      <c r="A674" s="89" t="s">
        <v>2021</v>
      </c>
      <c r="C674" s="91" t="s">
        <v>8</v>
      </c>
      <c r="D674" s="92" t="s">
        <v>2022</v>
      </c>
      <c r="E674" s="8">
        <f>COUNTIF(Questions!D:D,D674)</f>
        <v>2</v>
      </c>
      <c r="F674" s="95" t="s">
        <v>2023</v>
      </c>
      <c r="G674" s="95" t="s">
        <v>11</v>
      </c>
      <c r="H674" s="95" t="s">
        <v>2024</v>
      </c>
      <c r="I674" s="95">
        <f>COUNTIF(Questions!H:H,H674)</f>
        <v>2</v>
      </c>
    </row>
    <row r="675" spans="1:9" x14ac:dyDescent="0.35">
      <c r="A675" s="89" t="s">
        <v>2025</v>
      </c>
      <c r="C675" s="91" t="s">
        <v>8</v>
      </c>
      <c r="D675" s="92" t="s">
        <v>2022</v>
      </c>
      <c r="E675" s="8">
        <f>COUNTIF(Questions!D:D,D675)</f>
        <v>2</v>
      </c>
      <c r="F675" s="95" t="s">
        <v>2026</v>
      </c>
      <c r="G675" s="95" t="s">
        <v>11</v>
      </c>
      <c r="H675" s="95" t="s">
        <v>2024</v>
      </c>
      <c r="I675" s="95">
        <f>COUNTIF(Questions!H:H,H675)</f>
        <v>2</v>
      </c>
    </row>
    <row r="676" spans="1:9" ht="26" x14ac:dyDescent="0.35">
      <c r="A676" s="89" t="s">
        <v>2027</v>
      </c>
      <c r="C676" s="91" t="s">
        <v>72</v>
      </c>
      <c r="D676" s="92" t="s">
        <v>2028</v>
      </c>
      <c r="E676" s="8">
        <f>COUNTIF(Questions!D:D,D676)</f>
        <v>2</v>
      </c>
      <c r="F676" s="95" t="s">
        <v>2029</v>
      </c>
      <c r="G676" s="95" t="s">
        <v>2120</v>
      </c>
      <c r="H676" s="95" t="s">
        <v>2030</v>
      </c>
      <c r="I676" s="95">
        <f>COUNTIF(Questions!H:H,H676)</f>
        <v>2</v>
      </c>
    </row>
    <row r="677" spans="1:9" ht="39" x14ac:dyDescent="0.35">
      <c r="A677" s="89" t="s">
        <v>2031</v>
      </c>
      <c r="C677" s="93" t="s">
        <v>72</v>
      </c>
      <c r="D677" s="92" t="s">
        <v>2028</v>
      </c>
      <c r="E677" s="8">
        <f>COUNTIF(Questions!D:D,D677)</f>
        <v>2</v>
      </c>
      <c r="F677" s="95" t="s">
        <v>2032</v>
      </c>
      <c r="G677" s="95" t="s">
        <v>2120</v>
      </c>
      <c r="H677" s="95" t="s">
        <v>2030</v>
      </c>
      <c r="I677" s="95">
        <f>COUNTIF(Questions!H:H,H677)</f>
        <v>2</v>
      </c>
    </row>
    <row r="678" spans="1:9" ht="26" x14ac:dyDescent="0.35">
      <c r="A678" s="89" t="s">
        <v>2033</v>
      </c>
      <c r="C678" s="93" t="s">
        <v>1905</v>
      </c>
      <c r="D678" s="92" t="s">
        <v>2034</v>
      </c>
      <c r="E678" s="8">
        <f>COUNTIF(Questions!D:D,D678)</f>
        <v>2</v>
      </c>
      <c r="F678" s="95" t="s">
        <v>2035</v>
      </c>
      <c r="G678" s="95" t="s">
        <v>2122</v>
      </c>
      <c r="H678" s="95" t="s">
        <v>2036</v>
      </c>
      <c r="I678" s="95">
        <f>COUNTIF(Questions!H:H,H678)</f>
        <v>2</v>
      </c>
    </row>
    <row r="679" spans="1:9" ht="26" x14ac:dyDescent="0.35">
      <c r="A679" s="89" t="s">
        <v>2037</v>
      </c>
      <c r="C679" s="93" t="s">
        <v>1905</v>
      </c>
      <c r="D679" s="92" t="s">
        <v>2034</v>
      </c>
      <c r="E679" s="8">
        <f>COUNTIF(Questions!D:D,D679)</f>
        <v>2</v>
      </c>
      <c r="F679" s="95" t="s">
        <v>2038</v>
      </c>
      <c r="G679" s="95" t="s">
        <v>2122</v>
      </c>
      <c r="H679" s="95" t="s">
        <v>2036</v>
      </c>
      <c r="I679" s="95">
        <f>COUNTIF(Questions!H:H,H679)</f>
        <v>2</v>
      </c>
    </row>
    <row r="680" spans="1:9" ht="26" x14ac:dyDescent="0.35">
      <c r="A680" s="89" t="s">
        <v>2039</v>
      </c>
      <c r="C680" s="93" t="s">
        <v>2040</v>
      </c>
      <c r="D680" s="92" t="s">
        <v>2041</v>
      </c>
      <c r="E680" s="8">
        <f>COUNTIF(Questions!D:D,D680)</f>
        <v>2</v>
      </c>
      <c r="F680" s="95" t="s">
        <v>2042</v>
      </c>
      <c r="G680" s="95" t="s">
        <v>2043</v>
      </c>
      <c r="H680" s="95" t="s">
        <v>2044</v>
      </c>
      <c r="I680" s="95">
        <f>COUNTIF(Questions!H:H,H680)</f>
        <v>2</v>
      </c>
    </row>
    <row r="681" spans="1:9" ht="39" x14ac:dyDescent="0.35">
      <c r="A681" s="89" t="s">
        <v>2045</v>
      </c>
      <c r="C681" s="93" t="s">
        <v>2040</v>
      </c>
      <c r="D681" s="92" t="s">
        <v>2041</v>
      </c>
      <c r="E681" s="8">
        <f>COUNTIF(Questions!D:D,D681)</f>
        <v>2</v>
      </c>
      <c r="F681" s="95" t="s">
        <v>2046</v>
      </c>
      <c r="G681" s="95" t="s">
        <v>2043</v>
      </c>
      <c r="H681" s="95" t="s">
        <v>2044</v>
      </c>
      <c r="I681" s="95">
        <f>COUNTIF(Questions!H:H,H681)</f>
        <v>2</v>
      </c>
    </row>
  </sheetData>
  <autoFilter ref="A1:J681" xr:uid="{00000000-0009-0000-0000-000000000000}">
    <sortState xmlns:xlrd2="http://schemas.microsoft.com/office/spreadsheetml/2017/richdata2" ref="A44:J627">
      <sortCondition ref="D1:D6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4"/>
  <sheetViews>
    <sheetView zoomScale="96" workbookViewId="0">
      <selection activeCell="C20" sqref="C20"/>
    </sheetView>
  </sheetViews>
  <sheetFormatPr baseColWidth="10" defaultRowHeight="14.5" x14ac:dyDescent="0.35"/>
  <cols>
    <col min="1" max="1" width="28" customWidth="1"/>
    <col min="2" max="2" width="19.1796875" customWidth="1"/>
    <col min="13" max="13" width="28" customWidth="1"/>
  </cols>
  <sheetData>
    <row r="1" spans="1:17" x14ac:dyDescent="0.35">
      <c r="A1" s="3" t="s">
        <v>2047</v>
      </c>
      <c r="B1" s="3" t="s">
        <v>2048</v>
      </c>
      <c r="M1" s="4" t="s">
        <v>2049</v>
      </c>
    </row>
    <row r="2" spans="1:17" x14ac:dyDescent="0.35">
      <c r="A2" s="7" t="s">
        <v>50</v>
      </c>
      <c r="B2" t="s">
        <v>2050</v>
      </c>
      <c r="C2">
        <f>COUNTIF(Questions!C:C,Nombre!A2)</f>
        <v>48</v>
      </c>
      <c r="E2" t="s">
        <v>2050</v>
      </c>
      <c r="F2">
        <f>COUNTIF(B:B,"DEEP")</f>
        <v>4</v>
      </c>
      <c r="G2">
        <f>SUMIF(B:B,E2,C:C)</f>
        <v>220</v>
      </c>
      <c r="M2" s="45" t="s">
        <v>38</v>
      </c>
      <c r="N2">
        <f>COUNTIF(Questions!D:D,Nombre!M2)</f>
        <v>2</v>
      </c>
      <c r="Q2" t="s">
        <v>2051</v>
      </c>
    </row>
    <row r="3" spans="1:17" x14ac:dyDescent="0.35">
      <c r="A3" s="14" t="s">
        <v>79</v>
      </c>
      <c r="B3" t="s">
        <v>2052</v>
      </c>
      <c r="C3">
        <f>COUNTIF(Questions!C:C,Nombre!A3)</f>
        <v>40</v>
      </c>
      <c r="E3" t="s">
        <v>2052</v>
      </c>
      <c r="F3">
        <f>COUNTIF(B:B,"FUN")</f>
        <v>5</v>
      </c>
      <c r="G3">
        <f>SUMIF(B:B,E3,C:C)</f>
        <v>170</v>
      </c>
      <c r="M3" s="48" t="s">
        <v>44</v>
      </c>
      <c r="N3">
        <f>COUNTIF(Questions!D:D,Nombre!M86)</f>
        <v>0</v>
      </c>
      <c r="Q3" t="s">
        <v>2</v>
      </c>
    </row>
    <row r="4" spans="1:17" x14ac:dyDescent="0.35">
      <c r="A4" s="17" t="s">
        <v>190</v>
      </c>
      <c r="B4" t="s">
        <v>2052</v>
      </c>
      <c r="C4">
        <f>COUNTIF(Questions!C:C,Nombre!A4)</f>
        <v>16</v>
      </c>
      <c r="E4" t="s">
        <v>2053</v>
      </c>
      <c r="F4">
        <f>COUNTIF(B:B,"ICEBREAKERS")</f>
        <v>6</v>
      </c>
      <c r="G4">
        <f>SUMIF(B:B,E4,C:C)</f>
        <v>288</v>
      </c>
      <c r="M4" s="48" t="s">
        <v>2054</v>
      </c>
      <c r="N4">
        <f>COUNTIF(Questions!D:D,Nombre!M85)</f>
        <v>2</v>
      </c>
      <c r="Q4" t="s">
        <v>3</v>
      </c>
    </row>
    <row r="5" spans="1:17" x14ac:dyDescent="0.35">
      <c r="A5" s="20" t="s">
        <v>64</v>
      </c>
      <c r="B5" t="s">
        <v>2053</v>
      </c>
      <c r="C5">
        <f>COUNTIF(Questions!C:C,Nombre!A5)</f>
        <v>38</v>
      </c>
      <c r="M5" s="8" t="s">
        <v>51</v>
      </c>
      <c r="N5">
        <f>COUNTIF(Questions!D:D,Nombre!M3)</f>
        <v>2</v>
      </c>
    </row>
    <row r="6" spans="1:17" x14ac:dyDescent="0.35">
      <c r="A6" s="23" t="s">
        <v>16</v>
      </c>
      <c r="B6" t="s">
        <v>2052</v>
      </c>
      <c r="C6">
        <f>COUNTIF(Questions!C:C,Nombre!A6)</f>
        <v>40</v>
      </c>
      <c r="M6" s="39" t="s">
        <v>58</v>
      </c>
      <c r="N6">
        <f>COUNTIF(Questions!D:D,Nombre!M4)</f>
        <v>0</v>
      </c>
    </row>
    <row r="7" spans="1:17" x14ac:dyDescent="0.35">
      <c r="A7" s="26" t="s">
        <v>216</v>
      </c>
      <c r="B7" t="s">
        <v>2050</v>
      </c>
      <c r="C7">
        <f>COUNTIF(Questions!C:C,Nombre!A7)</f>
        <v>76</v>
      </c>
      <c r="H7" t="s">
        <v>50</v>
      </c>
      <c r="M7" s="39" t="s">
        <v>65</v>
      </c>
      <c r="N7">
        <f>COUNTIF(Questions!D:D,Nombre!M5)</f>
        <v>2</v>
      </c>
    </row>
    <row r="8" spans="1:17" x14ac:dyDescent="0.35">
      <c r="A8" s="29" t="s">
        <v>176</v>
      </c>
      <c r="B8" t="s">
        <v>2052</v>
      </c>
      <c r="C8">
        <f>COUNTIF(Questions!C:C,Nombre!A8)</f>
        <v>52</v>
      </c>
      <c r="H8" t="s">
        <v>2055</v>
      </c>
      <c r="M8" s="27" t="s">
        <v>73</v>
      </c>
      <c r="N8">
        <f>COUNTIF(Questions!D:D,Nombre!M6)</f>
        <v>2</v>
      </c>
    </row>
    <row r="9" spans="1:17" x14ac:dyDescent="0.35">
      <c r="A9" s="38" t="s">
        <v>57</v>
      </c>
      <c r="B9" t="s">
        <v>2053</v>
      </c>
      <c r="C9">
        <f>COUNTIF(Questions!C:C,Nombre!A9)</f>
        <v>76</v>
      </c>
      <c r="M9" s="15" t="s">
        <v>80</v>
      </c>
      <c r="N9">
        <f>COUNTIF(Questions!D:D,Nombre!M7)</f>
        <v>2</v>
      </c>
    </row>
    <row r="10" spans="1:17" x14ac:dyDescent="0.35">
      <c r="A10" s="41" t="s">
        <v>145</v>
      </c>
      <c r="B10" t="s">
        <v>2053</v>
      </c>
      <c r="C10">
        <f>COUNTIF(Questions!C:C,Nombre!A10)</f>
        <v>34</v>
      </c>
      <c r="M10" s="15" t="s">
        <v>1805</v>
      </c>
      <c r="N10">
        <f>COUNTIF(Questions!D:D,Nombre!M8)</f>
        <v>2</v>
      </c>
    </row>
    <row r="11" spans="1:17" x14ac:dyDescent="0.35">
      <c r="A11" s="44" t="s">
        <v>8</v>
      </c>
      <c r="B11" t="s">
        <v>2053</v>
      </c>
      <c r="C11">
        <f>COUNTIF(Questions!C:C,Nombre!A11)</f>
        <v>80</v>
      </c>
      <c r="M11" s="15" t="s">
        <v>86</v>
      </c>
      <c r="N11">
        <f>COUNTIF(Questions!D:D,Nombre!M9)</f>
        <v>2</v>
      </c>
    </row>
    <row r="12" spans="1:17" x14ac:dyDescent="0.35">
      <c r="A12" s="47" t="s">
        <v>24</v>
      </c>
      <c r="B12" t="s">
        <v>2050</v>
      </c>
      <c r="C12">
        <f>COUNTIF(Questions!C:C,Nombre!A12)</f>
        <v>40</v>
      </c>
      <c r="M12" s="54" t="s">
        <v>93</v>
      </c>
      <c r="N12">
        <f>COUNTIF(Questions!D:D,Nombre!M10)</f>
        <v>2</v>
      </c>
    </row>
    <row r="13" spans="1:17" x14ac:dyDescent="0.35">
      <c r="A13" s="50" t="s">
        <v>72</v>
      </c>
      <c r="B13" t="s">
        <v>2053</v>
      </c>
      <c r="C13">
        <f>COUNTIF(Questions!C:C,Nombre!A13)</f>
        <v>40</v>
      </c>
      <c r="M13" s="39" t="s">
        <v>99</v>
      </c>
      <c r="N13">
        <f>COUNTIF(Questions!D:D,Nombre!M11)</f>
        <v>2</v>
      </c>
    </row>
    <row r="14" spans="1:17" x14ac:dyDescent="0.35">
      <c r="A14" s="53" t="s">
        <v>92</v>
      </c>
      <c r="B14" t="s">
        <v>2050</v>
      </c>
      <c r="C14">
        <f>COUNTIF(Questions!C:C,Nombre!A14)</f>
        <v>56</v>
      </c>
      <c r="M14" s="39" t="s">
        <v>105</v>
      </c>
      <c r="N14">
        <f>COUNTIF(Questions!D:D,Nombre!M12)</f>
        <v>2</v>
      </c>
    </row>
    <row r="15" spans="1:17" x14ac:dyDescent="0.35">
      <c r="A15" s="44" t="s">
        <v>1898</v>
      </c>
      <c r="B15" t="s">
        <v>2053</v>
      </c>
      <c r="C15">
        <f>COUNTIF(Questions!C:C,Nombre!A15)</f>
        <v>20</v>
      </c>
      <c r="M15" s="21" t="s">
        <v>111</v>
      </c>
      <c r="N15">
        <f>COUNTIF(Questions!D:D,Nombre!M13)</f>
        <v>2</v>
      </c>
    </row>
    <row r="16" spans="1:17" x14ac:dyDescent="0.35">
      <c r="A16" s="50" t="s">
        <v>1905</v>
      </c>
      <c r="B16" t="s">
        <v>2052</v>
      </c>
      <c r="C16">
        <f>COUNTIF(Questions!C:C,Nombre!A16)</f>
        <v>22</v>
      </c>
      <c r="M16" s="45" t="s">
        <v>117</v>
      </c>
      <c r="N16">
        <f>COUNTIF(Questions!D:D,Nombre!M14)</f>
        <v>2</v>
      </c>
    </row>
    <row r="17" spans="3:14" x14ac:dyDescent="0.35">
      <c r="C17">
        <f>COUNTIF(Questions!A2:A647,"")</f>
        <v>0</v>
      </c>
      <c r="M17" s="24" t="s">
        <v>123</v>
      </c>
      <c r="N17">
        <f>COUNTIF(Questions!D:D,Nombre!M15)</f>
        <v>2</v>
      </c>
    </row>
    <row r="18" spans="3:14" x14ac:dyDescent="0.35">
      <c r="C18">
        <f>SUM(C2:C17)</f>
        <v>678</v>
      </c>
      <c r="M18" s="39" t="s">
        <v>129</v>
      </c>
      <c r="N18">
        <f>COUNTIF(Questions!D:D,Nombre!M16)</f>
        <v>2</v>
      </c>
    </row>
    <row r="19" spans="3:14" x14ac:dyDescent="0.35">
      <c r="M19" s="39" t="s">
        <v>134</v>
      </c>
      <c r="N19">
        <f>COUNTIF(Questions!D:D,Nombre!M17)</f>
        <v>2</v>
      </c>
    </row>
    <row r="20" spans="3:14" x14ac:dyDescent="0.35">
      <c r="M20" s="8" t="s">
        <v>139</v>
      </c>
      <c r="N20">
        <f>COUNTIF(Questions!D:D,Nombre!M18)</f>
        <v>2</v>
      </c>
    </row>
    <row r="21" spans="3:14" x14ac:dyDescent="0.35">
      <c r="M21" s="27" t="s">
        <v>146</v>
      </c>
      <c r="N21">
        <f>COUNTIF(Questions!D:D,Nombre!M19)</f>
        <v>2</v>
      </c>
    </row>
    <row r="22" spans="3:14" x14ac:dyDescent="0.35">
      <c r="M22" s="54" t="s">
        <v>152</v>
      </c>
      <c r="N22">
        <f>COUNTIF(Questions!D:D,Nombre!M20)</f>
        <v>2</v>
      </c>
    </row>
    <row r="23" spans="3:14" x14ac:dyDescent="0.35">
      <c r="M23" s="45" t="s">
        <v>158</v>
      </c>
      <c r="N23">
        <f>COUNTIF(Questions!D:D,Nombre!M21)</f>
        <v>2</v>
      </c>
    </row>
    <row r="24" spans="3:14" x14ac:dyDescent="0.35">
      <c r="M24" s="8" t="s">
        <v>1845</v>
      </c>
      <c r="N24">
        <f>COUNTIF(Questions!D:D,Nombre!M22)</f>
        <v>2</v>
      </c>
    </row>
    <row r="25" spans="3:14" x14ac:dyDescent="0.35">
      <c r="M25" s="39" t="s">
        <v>164</v>
      </c>
      <c r="N25">
        <f>COUNTIF(Questions!D:D,Nombre!M23)</f>
        <v>2</v>
      </c>
    </row>
    <row r="26" spans="3:14" x14ac:dyDescent="0.35">
      <c r="M26" s="8" t="s">
        <v>170</v>
      </c>
      <c r="N26">
        <f>COUNTIF(Questions!D:D,Nombre!M24)</f>
        <v>2</v>
      </c>
    </row>
    <row r="27" spans="3:14" x14ac:dyDescent="0.35">
      <c r="M27" s="30" t="s">
        <v>177</v>
      </c>
      <c r="N27">
        <f>COUNTIF(Questions!D:D,Nombre!M25)</f>
        <v>2</v>
      </c>
    </row>
    <row r="28" spans="3:14" x14ac:dyDescent="0.35">
      <c r="M28" s="30" t="s">
        <v>184</v>
      </c>
      <c r="N28">
        <f>COUNTIF(Questions!D:D,Nombre!M27)</f>
        <v>2</v>
      </c>
    </row>
    <row r="29" spans="3:14" x14ac:dyDescent="0.35">
      <c r="M29" s="18" t="s">
        <v>191</v>
      </c>
      <c r="N29">
        <f>COUNTIF(Questions!D:D,Nombre!M28)</f>
        <v>2</v>
      </c>
    </row>
    <row r="30" spans="3:14" x14ac:dyDescent="0.35">
      <c r="M30" s="45" t="s">
        <v>197</v>
      </c>
      <c r="N30">
        <f>COUNTIF(Questions!D:D,Nombre!M29)</f>
        <v>2</v>
      </c>
    </row>
    <row r="31" spans="3:14" x14ac:dyDescent="0.35">
      <c r="M31" s="54" t="s">
        <v>203</v>
      </c>
      <c r="N31">
        <f>COUNTIF(Questions!D:D,Nombre!M30)</f>
        <v>2</v>
      </c>
    </row>
    <row r="32" spans="3:14" x14ac:dyDescent="0.35">
      <c r="M32" s="45" t="s">
        <v>210</v>
      </c>
      <c r="N32">
        <f>COUNTIF(Questions!D:D,Nombre!M31)</f>
        <v>2</v>
      </c>
    </row>
    <row r="33" spans="13:14" x14ac:dyDescent="0.35">
      <c r="M33" s="27" t="s">
        <v>2056</v>
      </c>
      <c r="N33">
        <f>COUNTIF(Questions!D:D,Nombre!M32)</f>
        <v>2</v>
      </c>
    </row>
    <row r="34" spans="13:14" x14ac:dyDescent="0.35">
      <c r="M34" s="27" t="s">
        <v>223</v>
      </c>
      <c r="N34">
        <f>COUNTIF(Questions!D:D,Nombre!M33)</f>
        <v>0</v>
      </c>
    </row>
    <row r="35" spans="13:14" x14ac:dyDescent="0.35">
      <c r="M35" s="27" t="s">
        <v>217</v>
      </c>
      <c r="N35">
        <f>COUNTIF(Questions!D:D,Nombre!M34)</f>
        <v>2</v>
      </c>
    </row>
    <row r="36" spans="13:14" x14ac:dyDescent="0.35">
      <c r="M36" s="24" t="s">
        <v>242</v>
      </c>
      <c r="N36">
        <f>COUNTIF(Questions!D:D,Nombre!M35)</f>
        <v>2</v>
      </c>
    </row>
    <row r="37" spans="13:14" x14ac:dyDescent="0.35">
      <c r="M37" s="48" t="s">
        <v>248</v>
      </c>
      <c r="N37">
        <f>COUNTIF(Questions!D:D,Nombre!M36)</f>
        <v>2</v>
      </c>
    </row>
    <row r="38" spans="13:14" x14ac:dyDescent="0.35">
      <c r="M38" s="27" t="s">
        <v>229</v>
      </c>
      <c r="N38">
        <f>COUNTIF(Questions!D:D,Nombre!M37)</f>
        <v>2</v>
      </c>
    </row>
    <row r="39" spans="13:14" x14ac:dyDescent="0.35">
      <c r="M39" s="33" t="s">
        <v>260</v>
      </c>
      <c r="N39">
        <f>COUNTIF(Questions!D:D,Nombre!M38)</f>
        <v>2</v>
      </c>
    </row>
    <row r="40" spans="13:14" x14ac:dyDescent="0.35">
      <c r="M40" s="27" t="s">
        <v>266</v>
      </c>
      <c r="N40">
        <f>COUNTIF(Questions!D:D,Nombre!M39)</f>
        <v>2</v>
      </c>
    </row>
    <row r="41" spans="13:14" x14ac:dyDescent="0.35">
      <c r="M41" s="36" t="s">
        <v>272</v>
      </c>
      <c r="N41">
        <f>COUNTIF(Questions!D:D,Nombre!M40)</f>
        <v>2</v>
      </c>
    </row>
    <row r="42" spans="13:14" x14ac:dyDescent="0.35">
      <c r="M42" s="36" t="s">
        <v>278</v>
      </c>
      <c r="N42">
        <f>COUNTIF(Questions!D:D,Nombre!M41)</f>
        <v>2</v>
      </c>
    </row>
    <row r="43" spans="13:14" x14ac:dyDescent="0.35">
      <c r="M43" s="27" t="s">
        <v>254</v>
      </c>
      <c r="N43">
        <f>COUNTIF(Questions!D:D,Nombre!M42)</f>
        <v>2</v>
      </c>
    </row>
    <row r="44" spans="13:14" x14ac:dyDescent="0.35">
      <c r="M44" s="21" t="s">
        <v>290</v>
      </c>
      <c r="N44">
        <f>COUNTIF(Questions!D:D,Nombre!M43)</f>
        <v>2</v>
      </c>
    </row>
    <row r="45" spans="13:14" x14ac:dyDescent="0.35">
      <c r="M45" s="30" t="s">
        <v>284</v>
      </c>
      <c r="N45">
        <f>COUNTIF(Questions!D:D,Nombre!M44)</f>
        <v>2</v>
      </c>
    </row>
    <row r="46" spans="13:14" x14ac:dyDescent="0.35">
      <c r="M46" s="39" t="s">
        <v>2057</v>
      </c>
      <c r="N46">
        <f>COUNTIF(Questions!D:D,Nombre!M45)</f>
        <v>2</v>
      </c>
    </row>
    <row r="47" spans="13:14" x14ac:dyDescent="0.35">
      <c r="M47" s="45" t="s">
        <v>308</v>
      </c>
      <c r="N47">
        <f>COUNTIF(Questions!D:D,Nombre!M46)</f>
        <v>0</v>
      </c>
    </row>
    <row r="48" spans="13:14" x14ac:dyDescent="0.35">
      <c r="M48" s="39" t="s">
        <v>2058</v>
      </c>
      <c r="N48">
        <f>COUNTIF(Questions!D:D,Nombre!M47)</f>
        <v>2</v>
      </c>
    </row>
    <row r="49" spans="13:14" x14ac:dyDescent="0.35">
      <c r="M49" s="42" t="s">
        <v>321</v>
      </c>
      <c r="N49">
        <f>COUNTIF(Questions!D:D,Nombre!M48)</f>
        <v>0</v>
      </c>
    </row>
    <row r="50" spans="13:14" x14ac:dyDescent="0.35">
      <c r="M50" s="42" t="s">
        <v>327</v>
      </c>
      <c r="N50">
        <f>COUNTIF(Questions!D:D,Nombre!M49)</f>
        <v>2</v>
      </c>
    </row>
    <row r="51" spans="13:14" x14ac:dyDescent="0.35">
      <c r="M51" s="54" t="s">
        <v>333</v>
      </c>
      <c r="N51">
        <f>COUNTIF(Questions!D:D,Nombre!M50)</f>
        <v>2</v>
      </c>
    </row>
    <row r="52" spans="13:14" x14ac:dyDescent="0.35">
      <c r="M52" s="18" t="s">
        <v>2059</v>
      </c>
      <c r="N52">
        <f>COUNTIF(Questions!D:D,Nombre!M51)</f>
        <v>2</v>
      </c>
    </row>
    <row r="53" spans="13:14" x14ac:dyDescent="0.35">
      <c r="M53" s="36" t="s">
        <v>344</v>
      </c>
      <c r="N53">
        <f>COUNTIF(Questions!D:D,Nombre!M52)</f>
        <v>0</v>
      </c>
    </row>
    <row r="54" spans="13:14" x14ac:dyDescent="0.35">
      <c r="M54" s="42" t="s">
        <v>2060</v>
      </c>
      <c r="N54">
        <f>COUNTIF(Questions!D:D,Nombre!M53)</f>
        <v>2</v>
      </c>
    </row>
    <row r="55" spans="13:14" x14ac:dyDescent="0.35">
      <c r="M55" s="30" t="s">
        <v>356</v>
      </c>
      <c r="N55">
        <f>COUNTIF(Questions!D:D,Nombre!M54)</f>
        <v>0</v>
      </c>
    </row>
    <row r="56" spans="13:14" x14ac:dyDescent="0.35">
      <c r="M56" s="18" t="s">
        <v>2061</v>
      </c>
      <c r="N56">
        <f>COUNTIF(Questions!D:D,Nombre!M55)</f>
        <v>2</v>
      </c>
    </row>
    <row r="57" spans="13:14" x14ac:dyDescent="0.35">
      <c r="M57" s="48" t="s">
        <v>2062</v>
      </c>
      <c r="N57">
        <f>COUNTIF(Questions!D:D,Nombre!M56)</f>
        <v>0</v>
      </c>
    </row>
    <row r="58" spans="13:14" x14ac:dyDescent="0.35">
      <c r="M58" s="39" t="s">
        <v>374</v>
      </c>
      <c r="N58">
        <f>COUNTIF(Questions!D:D,Nombre!M57)</f>
        <v>0</v>
      </c>
    </row>
    <row r="59" spans="13:14" x14ac:dyDescent="0.35">
      <c r="M59" s="42" t="s">
        <v>380</v>
      </c>
      <c r="N59">
        <f>COUNTIF(Questions!D:D,Nombre!M58)</f>
        <v>2</v>
      </c>
    </row>
    <row r="60" spans="13:14" x14ac:dyDescent="0.35">
      <c r="M60" s="42" t="s">
        <v>385</v>
      </c>
      <c r="N60">
        <f>COUNTIF(Questions!D:D,Nombre!M59)</f>
        <v>2</v>
      </c>
    </row>
    <row r="61" spans="13:14" x14ac:dyDescent="0.35">
      <c r="M61" s="42" t="s">
        <v>390</v>
      </c>
      <c r="N61">
        <f>COUNTIF(Questions!D:D,Nombre!M60)</f>
        <v>2</v>
      </c>
    </row>
    <row r="62" spans="13:14" x14ac:dyDescent="0.35">
      <c r="M62" s="30" t="s">
        <v>396</v>
      </c>
      <c r="N62">
        <f>COUNTIF(Questions!D:D,Nombre!M61)</f>
        <v>2</v>
      </c>
    </row>
    <row r="63" spans="13:14" x14ac:dyDescent="0.35">
      <c r="M63" s="45" t="s">
        <v>402</v>
      </c>
      <c r="N63">
        <f>COUNTIF(Questions!D:D,Nombre!M62)</f>
        <v>2</v>
      </c>
    </row>
    <row r="64" spans="13:14" x14ac:dyDescent="0.35">
      <c r="M64" s="39" t="s">
        <v>408</v>
      </c>
      <c r="N64">
        <f>COUNTIF(Questions!D:D,Nombre!M63)</f>
        <v>2</v>
      </c>
    </row>
    <row r="65" spans="13:14" x14ac:dyDescent="0.35">
      <c r="M65" s="45" t="s">
        <v>414</v>
      </c>
      <c r="N65">
        <f>COUNTIF(Questions!D:D,Nombre!M64)</f>
        <v>2</v>
      </c>
    </row>
    <row r="66" spans="13:14" x14ac:dyDescent="0.35">
      <c r="M66" s="42" t="s">
        <v>420</v>
      </c>
      <c r="N66">
        <f>COUNTIF(Questions!D:D,Nombre!M65)</f>
        <v>2</v>
      </c>
    </row>
    <row r="67" spans="13:14" x14ac:dyDescent="0.35">
      <c r="M67" s="42" t="s">
        <v>2063</v>
      </c>
      <c r="N67">
        <f>COUNTIF(Questions!D:D,Nombre!M66)</f>
        <v>2</v>
      </c>
    </row>
    <row r="68" spans="13:14" x14ac:dyDescent="0.35">
      <c r="M68" s="39" t="s">
        <v>431</v>
      </c>
      <c r="N68">
        <f>COUNTIF(Questions!D:D,Nombre!M67)</f>
        <v>0</v>
      </c>
    </row>
    <row r="69" spans="13:14" x14ac:dyDescent="0.35">
      <c r="M69" s="45" t="s">
        <v>437</v>
      </c>
      <c r="N69">
        <f>COUNTIF(Questions!D:D,Nombre!M68)</f>
        <v>2</v>
      </c>
    </row>
    <row r="70" spans="13:14" x14ac:dyDescent="0.35">
      <c r="M70" s="33" t="s">
        <v>443</v>
      </c>
      <c r="N70">
        <f>COUNTIF(Questions!D:D,Nombre!M69)</f>
        <v>2</v>
      </c>
    </row>
    <row r="71" spans="13:14" x14ac:dyDescent="0.35">
      <c r="M71" s="33" t="s">
        <v>449</v>
      </c>
      <c r="N71">
        <f>COUNTIF(Questions!D:D,Nombre!M70)</f>
        <v>2</v>
      </c>
    </row>
    <row r="72" spans="13:14" x14ac:dyDescent="0.35">
      <c r="M72" s="39" t="s">
        <v>455</v>
      </c>
      <c r="N72">
        <f>COUNTIF(Questions!D:D,Nombre!M71)</f>
        <v>2</v>
      </c>
    </row>
    <row r="73" spans="13:14" x14ac:dyDescent="0.35">
      <c r="M73" s="42" t="s">
        <v>461</v>
      </c>
      <c r="N73">
        <f>COUNTIF(Questions!D:D,Nombre!M72)</f>
        <v>2</v>
      </c>
    </row>
    <row r="74" spans="13:14" x14ac:dyDescent="0.35">
      <c r="M74" s="30" t="s">
        <v>467</v>
      </c>
      <c r="N74">
        <f>COUNTIF(Questions!D:D,Nombre!M73)</f>
        <v>2</v>
      </c>
    </row>
    <row r="75" spans="13:14" x14ac:dyDescent="0.35">
      <c r="M75" s="8" t="s">
        <v>479</v>
      </c>
      <c r="N75">
        <f>COUNTIF(Questions!D:D,Nombre!M74)</f>
        <v>2</v>
      </c>
    </row>
    <row r="76" spans="13:14" x14ac:dyDescent="0.35">
      <c r="M76" s="18" t="s">
        <v>2064</v>
      </c>
      <c r="N76">
        <f>COUNTIF(Questions!D:D,Nombre!M75)</f>
        <v>2</v>
      </c>
    </row>
    <row r="77" spans="13:14" x14ac:dyDescent="0.35">
      <c r="M77" s="27" t="s">
        <v>486</v>
      </c>
      <c r="N77">
        <f>COUNTIF(Questions!D:D,Nombre!M76)</f>
        <v>0</v>
      </c>
    </row>
    <row r="78" spans="13:14" x14ac:dyDescent="0.35">
      <c r="M78" s="27" t="s">
        <v>492</v>
      </c>
      <c r="N78">
        <f>COUNTIF(Questions!D:D,Nombre!M78)</f>
        <v>2</v>
      </c>
    </row>
    <row r="79" spans="13:14" x14ac:dyDescent="0.35">
      <c r="M79" s="8" t="s">
        <v>498</v>
      </c>
      <c r="N79">
        <f>COUNTIF(Questions!D:D,Nombre!M79)</f>
        <v>2</v>
      </c>
    </row>
    <row r="80" spans="13:14" x14ac:dyDescent="0.35">
      <c r="M80" s="42" t="s">
        <v>504</v>
      </c>
      <c r="N80">
        <f>COUNTIF(Questions!D:D,Nombre!M80)</f>
        <v>2</v>
      </c>
    </row>
    <row r="81" spans="13:14" x14ac:dyDescent="0.35">
      <c r="M81" s="27" t="s">
        <v>515</v>
      </c>
      <c r="N81">
        <f>COUNTIF(Questions!D:D,Nombre!M77)</f>
        <v>2</v>
      </c>
    </row>
    <row r="82" spans="13:14" x14ac:dyDescent="0.35">
      <c r="M82" s="21" t="s">
        <v>521</v>
      </c>
      <c r="N82">
        <f>COUNTIF(Questions!D:D,Nombre!M81)</f>
        <v>2</v>
      </c>
    </row>
    <row r="83" spans="13:14" x14ac:dyDescent="0.35">
      <c r="M83" s="15" t="s">
        <v>526</v>
      </c>
      <c r="N83">
        <f>COUNTIF(Questions!D:D,Nombre!M82)</f>
        <v>2</v>
      </c>
    </row>
    <row r="84" spans="13:14" x14ac:dyDescent="0.35">
      <c r="M84" s="18" t="s">
        <v>532</v>
      </c>
      <c r="N84">
        <f>COUNTIF(Questions!D:D,Nombre!M84)</f>
        <v>2</v>
      </c>
    </row>
    <row r="85" spans="13:14" x14ac:dyDescent="0.35">
      <c r="M85" s="8" t="s">
        <v>538</v>
      </c>
      <c r="N85">
        <f>COUNTIF(Questions!D:D,Nombre!M88)</f>
        <v>2</v>
      </c>
    </row>
    <row r="86" spans="13:14" x14ac:dyDescent="0.35">
      <c r="M86" s="39" t="s">
        <v>2065</v>
      </c>
      <c r="N86">
        <f>COUNTIF(Questions!D:D,Nombre!M89)</f>
        <v>2</v>
      </c>
    </row>
    <row r="87" spans="13:14" x14ac:dyDescent="0.35">
      <c r="M87" s="39" t="s">
        <v>2066</v>
      </c>
      <c r="N87">
        <f>COUNTIF(Questions!D:D,Nombre!M90)</f>
        <v>2</v>
      </c>
    </row>
    <row r="88" spans="13:14" x14ac:dyDescent="0.35">
      <c r="M88" s="30" t="s">
        <v>550</v>
      </c>
      <c r="N88">
        <f>COUNTIF(Questions!D:D,Nombre!M91)</f>
        <v>0</v>
      </c>
    </row>
    <row r="89" spans="13:14" x14ac:dyDescent="0.35">
      <c r="M89" s="24" t="s">
        <v>556</v>
      </c>
      <c r="N89">
        <f>COUNTIF(Questions!D:D,Nombre!M92)</f>
        <v>2</v>
      </c>
    </row>
    <row r="90" spans="13:14" x14ac:dyDescent="0.35">
      <c r="M90" s="51" t="s">
        <v>562</v>
      </c>
      <c r="N90">
        <f>COUNTIF(Questions!D:D,Nombre!M93)</f>
        <v>2</v>
      </c>
    </row>
    <row r="91" spans="13:14" x14ac:dyDescent="0.35">
      <c r="M91" s="27" t="s">
        <v>2067</v>
      </c>
      <c r="N91">
        <f>COUNTIF(Questions!D:D,Nombre!M94)</f>
        <v>2</v>
      </c>
    </row>
    <row r="92" spans="13:14" x14ac:dyDescent="0.35">
      <c r="M92" s="27" t="s">
        <v>574</v>
      </c>
      <c r="N92">
        <f>COUNTIF(Questions!D:D,Nombre!M95)</f>
        <v>2</v>
      </c>
    </row>
    <row r="93" spans="13:14" x14ac:dyDescent="0.35">
      <c r="M93" s="48" t="s">
        <v>580</v>
      </c>
      <c r="N93">
        <f>COUNTIF(Questions!D:D,Nombre!M96)</f>
        <v>2</v>
      </c>
    </row>
    <row r="94" spans="13:14" x14ac:dyDescent="0.35">
      <c r="M94" s="33" t="s">
        <v>586</v>
      </c>
      <c r="N94">
        <f>COUNTIF(Questions!D:D,Nombre!M97)</f>
        <v>2</v>
      </c>
    </row>
    <row r="95" spans="13:14" x14ac:dyDescent="0.35">
      <c r="M95" s="39" t="s">
        <v>592</v>
      </c>
      <c r="N95">
        <f>COUNTIF(Questions!D:D,Nombre!M98)</f>
        <v>2</v>
      </c>
    </row>
    <row r="96" spans="13:14" x14ac:dyDescent="0.35">
      <c r="M96" s="48" t="s">
        <v>598</v>
      </c>
      <c r="N96">
        <f>COUNTIF(Questions!D:D,Nombre!M87)</f>
        <v>0</v>
      </c>
    </row>
    <row r="97" spans="13:14" x14ac:dyDescent="0.35">
      <c r="M97" s="27" t="s">
        <v>622</v>
      </c>
      <c r="N97">
        <f>COUNTIF(Questions!D:D,Nombre!M99)</f>
        <v>2</v>
      </c>
    </row>
    <row r="98" spans="13:14" x14ac:dyDescent="0.35">
      <c r="M98" s="51" t="s">
        <v>610</v>
      </c>
      <c r="N98">
        <f>COUNTIF(Questions!D:D,Nombre!M100)</f>
        <v>2</v>
      </c>
    </row>
    <row r="99" spans="13:14" x14ac:dyDescent="0.35">
      <c r="M99" s="51" t="s">
        <v>616</v>
      </c>
      <c r="N99">
        <f>COUNTIF(Questions!D:D,Nombre!M101)</f>
        <v>2</v>
      </c>
    </row>
    <row r="100" spans="13:14" x14ac:dyDescent="0.35">
      <c r="M100" s="27" t="s">
        <v>691</v>
      </c>
      <c r="N100">
        <f>COUNTIF(Questions!D:D,Nombre!M102)</f>
        <v>2</v>
      </c>
    </row>
    <row r="101" spans="13:14" x14ac:dyDescent="0.35">
      <c r="M101" s="30" t="s">
        <v>628</v>
      </c>
      <c r="N101">
        <f>COUNTIF(Questions!D:D,Nombre!M103)</f>
        <v>2</v>
      </c>
    </row>
    <row r="102" spans="13:14" x14ac:dyDescent="0.35">
      <c r="M102" s="24" t="s">
        <v>634</v>
      </c>
      <c r="N102">
        <f>COUNTIF(Questions!D:D,Nombre!M104)</f>
        <v>2</v>
      </c>
    </row>
    <row r="103" spans="13:14" x14ac:dyDescent="0.35">
      <c r="M103" s="15" t="s">
        <v>640</v>
      </c>
      <c r="N103">
        <f>COUNTIF(Questions!D:D,Nombre!M105)</f>
        <v>2</v>
      </c>
    </row>
    <row r="104" spans="13:14" x14ac:dyDescent="0.35">
      <c r="M104" s="15" t="s">
        <v>646</v>
      </c>
      <c r="N104">
        <f>COUNTIF(Questions!D:D,Nombre!M106)</f>
        <v>2</v>
      </c>
    </row>
    <row r="105" spans="13:14" x14ac:dyDescent="0.35">
      <c r="M105" s="18" t="s">
        <v>1859</v>
      </c>
      <c r="N105">
        <f>COUNTIF(Questions!D:D,Nombre!M107)</f>
        <v>2</v>
      </c>
    </row>
    <row r="106" spans="13:14" x14ac:dyDescent="0.35">
      <c r="M106" s="54" t="s">
        <v>652</v>
      </c>
      <c r="N106">
        <f>COUNTIF(Questions!D:D,Nombre!M108)</f>
        <v>2</v>
      </c>
    </row>
    <row r="107" spans="13:14" x14ac:dyDescent="0.35">
      <c r="M107" s="45" t="s">
        <v>658</v>
      </c>
      <c r="N107">
        <f>COUNTIF(Questions!D:D,Nombre!M109)</f>
        <v>2</v>
      </c>
    </row>
    <row r="108" spans="13:14" x14ac:dyDescent="0.35">
      <c r="M108" s="21" t="s">
        <v>664</v>
      </c>
      <c r="N108">
        <f>COUNTIF(Questions!D:D,Nombre!M110)</f>
        <v>0</v>
      </c>
    </row>
    <row r="109" spans="13:14" x14ac:dyDescent="0.35">
      <c r="M109" s="8" t="s">
        <v>669</v>
      </c>
      <c r="N109">
        <f>COUNTIF(Questions!D:D,Nombre!M111)</f>
        <v>2</v>
      </c>
    </row>
    <row r="110" spans="13:14" x14ac:dyDescent="0.35">
      <c r="M110" s="18" t="s">
        <v>2068</v>
      </c>
      <c r="N110">
        <f>COUNTIF(Questions!D:D,Nombre!M112)</f>
        <v>2</v>
      </c>
    </row>
    <row r="111" spans="13:14" x14ac:dyDescent="0.35">
      <c r="M111" s="21" t="s">
        <v>680</v>
      </c>
      <c r="N111">
        <f>COUNTIF(Questions!D:D,Nombre!M113)</f>
        <v>2</v>
      </c>
    </row>
    <row r="112" spans="13:14" x14ac:dyDescent="0.35">
      <c r="M112" s="18" t="s">
        <v>686</v>
      </c>
      <c r="N112">
        <f>COUNTIF(Questions!D:D,Nombre!M114)</f>
        <v>2</v>
      </c>
    </row>
    <row r="113" spans="13:14" x14ac:dyDescent="0.35">
      <c r="M113" s="27" t="s">
        <v>778</v>
      </c>
      <c r="N113">
        <f>COUNTIF(Questions!D:D,Nombre!M115)</f>
        <v>2</v>
      </c>
    </row>
    <row r="114" spans="13:14" x14ac:dyDescent="0.35">
      <c r="M114" s="24" t="s">
        <v>697</v>
      </c>
      <c r="N114">
        <f>COUNTIF(Questions!D:D,Nombre!M116)</f>
        <v>2</v>
      </c>
    </row>
    <row r="115" spans="13:14" x14ac:dyDescent="0.35">
      <c r="M115" s="8" t="s">
        <v>703</v>
      </c>
      <c r="N115">
        <f>COUNTIF(Questions!D:D,Nombre!M117)</f>
        <v>2</v>
      </c>
    </row>
    <row r="116" spans="13:14" x14ac:dyDescent="0.35">
      <c r="M116" s="39" t="s">
        <v>708</v>
      </c>
      <c r="N116">
        <f>COUNTIF(Questions!D:D,Nombre!M118)</f>
        <v>2</v>
      </c>
    </row>
    <row r="117" spans="13:14" x14ac:dyDescent="0.35">
      <c r="M117" s="39" t="s">
        <v>714</v>
      </c>
      <c r="N117">
        <f>COUNTIF(Questions!D:D,Nombre!M119)</f>
        <v>2</v>
      </c>
    </row>
    <row r="118" spans="13:14" x14ac:dyDescent="0.35">
      <c r="M118" s="15" t="s">
        <v>720</v>
      </c>
      <c r="N118">
        <f>COUNTIF(Questions!D:D,Nombre!M120)</f>
        <v>2</v>
      </c>
    </row>
    <row r="119" spans="13:14" x14ac:dyDescent="0.35">
      <c r="M119" s="54" t="s">
        <v>726</v>
      </c>
      <c r="N119">
        <f>COUNTIF(Questions!D:D,Nombre!M121)</f>
        <v>2</v>
      </c>
    </row>
    <row r="120" spans="13:14" x14ac:dyDescent="0.35">
      <c r="M120" s="18" t="s">
        <v>732</v>
      </c>
      <c r="N120">
        <f>COUNTIF(Questions!D:D,Nombre!M122)</f>
        <v>2</v>
      </c>
    </row>
    <row r="121" spans="13:14" x14ac:dyDescent="0.35">
      <c r="M121" s="45" t="s">
        <v>738</v>
      </c>
      <c r="N121">
        <f>COUNTIF(Questions!D:D,Nombre!M123)</f>
        <v>0</v>
      </c>
    </row>
    <row r="122" spans="13:14" x14ac:dyDescent="0.35">
      <c r="M122" s="45" t="s">
        <v>744</v>
      </c>
      <c r="N122">
        <f>COUNTIF(Questions!D:D,Nombre!M124)</f>
        <v>2</v>
      </c>
    </row>
    <row r="123" spans="13:14" x14ac:dyDescent="0.35">
      <c r="M123" s="54" t="s">
        <v>2069</v>
      </c>
      <c r="N123">
        <f>COUNTIF(Questions!D:D,Nombre!M125)</f>
        <v>0</v>
      </c>
    </row>
    <row r="124" spans="13:14" x14ac:dyDescent="0.35">
      <c r="M124" s="54" t="s">
        <v>756</v>
      </c>
      <c r="N124">
        <f>COUNTIF(Questions!D:D,Nombre!M126)</f>
        <v>2</v>
      </c>
    </row>
    <row r="125" spans="13:14" x14ac:dyDescent="0.35">
      <c r="M125" s="54" t="s">
        <v>2070</v>
      </c>
      <c r="N125">
        <f>COUNTIF(Questions!D:D,Nombre!M127)</f>
        <v>2</v>
      </c>
    </row>
    <row r="126" spans="13:14" x14ac:dyDescent="0.35">
      <c r="M126" s="15" t="s">
        <v>761</v>
      </c>
      <c r="N126">
        <f>COUNTIF(Questions!D:D,Nombre!M128)</f>
        <v>2</v>
      </c>
    </row>
    <row r="127" spans="13:14" x14ac:dyDescent="0.35">
      <c r="M127" s="8" t="s">
        <v>767</v>
      </c>
      <c r="N127">
        <f>COUNTIF(Questions!D:D,Nombre!M129)</f>
        <v>2</v>
      </c>
    </row>
    <row r="128" spans="13:14" x14ac:dyDescent="0.35">
      <c r="M128" s="36" t="s">
        <v>1811</v>
      </c>
      <c r="N128">
        <f>COUNTIF(Questions!D:D,Nombre!M130)</f>
        <v>2</v>
      </c>
    </row>
    <row r="129" spans="13:14" x14ac:dyDescent="0.35">
      <c r="M129" s="27" t="s">
        <v>908</v>
      </c>
      <c r="N129">
        <f>COUNTIF(Questions!D:D,Nombre!M131)</f>
        <v>2</v>
      </c>
    </row>
    <row r="130" spans="13:14" x14ac:dyDescent="0.35">
      <c r="M130" s="48" t="s">
        <v>784</v>
      </c>
      <c r="N130">
        <f>COUNTIF(Questions!D:D,Nombre!M132)</f>
        <v>0</v>
      </c>
    </row>
    <row r="131" spans="13:14" x14ac:dyDescent="0.35">
      <c r="M131" s="18" t="s">
        <v>790</v>
      </c>
      <c r="N131">
        <f>COUNTIF(Questions!D:D,Nombre!M133)</f>
        <v>2</v>
      </c>
    </row>
    <row r="132" spans="13:14" x14ac:dyDescent="0.35">
      <c r="M132" s="48" t="s">
        <v>2071</v>
      </c>
      <c r="N132">
        <f>COUNTIF(Questions!D:D,Nombre!M134)</f>
        <v>0</v>
      </c>
    </row>
    <row r="133" spans="13:14" x14ac:dyDescent="0.35">
      <c r="M133" s="54" t="s">
        <v>802</v>
      </c>
      <c r="N133">
        <f>COUNTIF(Questions!D:D,Nombre!M135)</f>
        <v>2</v>
      </c>
    </row>
    <row r="134" spans="13:14" x14ac:dyDescent="0.35">
      <c r="M134" s="54" t="s">
        <v>2072</v>
      </c>
      <c r="N134">
        <f>COUNTIF(Questions!D:D,Nombre!M136)</f>
        <v>2</v>
      </c>
    </row>
    <row r="135" spans="13:14" x14ac:dyDescent="0.35">
      <c r="M135" s="54" t="s">
        <v>808</v>
      </c>
      <c r="N135">
        <f>COUNTIF(Questions!D:D,Nombre!M137)</f>
        <v>2</v>
      </c>
    </row>
    <row r="136" spans="13:14" x14ac:dyDescent="0.35">
      <c r="M136" s="42" t="s">
        <v>814</v>
      </c>
      <c r="N136">
        <f>COUNTIF(Questions!D:D,Nombre!M138)</f>
        <v>0</v>
      </c>
    </row>
    <row r="137" spans="13:14" x14ac:dyDescent="0.35">
      <c r="M137" s="30" t="s">
        <v>820</v>
      </c>
      <c r="N137">
        <f>COUNTIF(Questions!D:D,Nombre!M139)</f>
        <v>2</v>
      </c>
    </row>
    <row r="138" spans="13:14" x14ac:dyDescent="0.35">
      <c r="M138" s="24" t="s">
        <v>2073</v>
      </c>
      <c r="N138">
        <f>COUNTIF(Questions!D:D,Nombre!M140)</f>
        <v>2</v>
      </c>
    </row>
    <row r="139" spans="13:14" x14ac:dyDescent="0.35">
      <c r="M139" s="8" t="s">
        <v>833</v>
      </c>
      <c r="N139">
        <f>COUNTIF(Questions!D:D,Nombre!M141)</f>
        <v>2</v>
      </c>
    </row>
    <row r="140" spans="13:14" x14ac:dyDescent="0.35">
      <c r="M140" s="39" t="s">
        <v>838</v>
      </c>
      <c r="N140">
        <f>COUNTIF(Questions!D:D,Nombre!M142)</f>
        <v>2</v>
      </c>
    </row>
    <row r="141" spans="13:14" x14ac:dyDescent="0.35">
      <c r="M141" s="39" t="s">
        <v>845</v>
      </c>
      <c r="N141">
        <f>COUNTIF(Questions!D:D,Nombre!M143)</f>
        <v>2</v>
      </c>
    </row>
    <row r="142" spans="13:14" x14ac:dyDescent="0.35">
      <c r="M142" s="42" t="s">
        <v>850</v>
      </c>
      <c r="N142">
        <f>COUNTIF(Questions!D:D,Nombre!M144)</f>
        <v>2</v>
      </c>
    </row>
    <row r="143" spans="13:14" x14ac:dyDescent="0.35">
      <c r="M143" s="54" t="s">
        <v>861</v>
      </c>
      <c r="N143">
        <f>COUNTIF(Questions!D:D,Nombre!M145)</f>
        <v>2</v>
      </c>
    </row>
    <row r="144" spans="13:14" x14ac:dyDescent="0.35">
      <c r="M144" s="39" t="s">
        <v>867</v>
      </c>
      <c r="N144">
        <f>COUNTIF(Questions!D:D,Nombre!M146)</f>
        <v>0</v>
      </c>
    </row>
    <row r="145" spans="13:14" x14ac:dyDescent="0.35">
      <c r="M145" s="27" t="s">
        <v>873</v>
      </c>
      <c r="N145">
        <f>COUNTIF(Questions!D:D,Nombre!M147)</f>
        <v>2</v>
      </c>
    </row>
    <row r="146" spans="13:14" x14ac:dyDescent="0.35">
      <c r="M146" s="39" t="s">
        <v>2074</v>
      </c>
      <c r="N146">
        <f>COUNTIF(Questions!D:D,Nombre!M148)</f>
        <v>2</v>
      </c>
    </row>
    <row r="147" spans="13:14" x14ac:dyDescent="0.35">
      <c r="M147" s="48" t="s">
        <v>885</v>
      </c>
      <c r="N147">
        <f>COUNTIF(Questions!D:D,Nombre!M149)</f>
        <v>2</v>
      </c>
    </row>
    <row r="148" spans="13:14" x14ac:dyDescent="0.35">
      <c r="M148" s="39" t="s">
        <v>891</v>
      </c>
      <c r="N148">
        <f>COUNTIF(Questions!D:D,Nombre!M150)</f>
        <v>0</v>
      </c>
    </row>
    <row r="149" spans="13:14" x14ac:dyDescent="0.35">
      <c r="M149" s="33" t="s">
        <v>897</v>
      </c>
      <c r="N149">
        <f>COUNTIF(Questions!D:D,Nombre!M151)</f>
        <v>0</v>
      </c>
    </row>
    <row r="150" spans="13:14" x14ac:dyDescent="0.35">
      <c r="M150" s="33" t="s">
        <v>2075</v>
      </c>
      <c r="N150">
        <f>COUNTIF(Questions!D:D,Nombre!M152)</f>
        <v>2</v>
      </c>
    </row>
    <row r="151" spans="13:14" x14ac:dyDescent="0.35">
      <c r="M151" s="54" t="s">
        <v>2076</v>
      </c>
      <c r="N151">
        <f>COUNTIF(Questions!D:D,Nombre!M153)</f>
        <v>2</v>
      </c>
    </row>
    <row r="152" spans="13:14" x14ac:dyDescent="0.35">
      <c r="M152" s="30" t="s">
        <v>944</v>
      </c>
      <c r="N152">
        <f>COUNTIF(Questions!D:D,Nombre!M154)</f>
        <v>0</v>
      </c>
    </row>
    <row r="153" spans="13:14" x14ac:dyDescent="0.35">
      <c r="M153" s="33" t="s">
        <v>914</v>
      </c>
      <c r="N153">
        <f>COUNTIF(Questions!D:D,Nombre!M155)</f>
        <v>0</v>
      </c>
    </row>
    <row r="154" spans="13:14" x14ac:dyDescent="0.35">
      <c r="M154" s="24" t="s">
        <v>2077</v>
      </c>
      <c r="N154">
        <f>COUNTIF(Questions!D:D,Nombre!M156)</f>
        <v>2</v>
      </c>
    </row>
    <row r="155" spans="13:14" x14ac:dyDescent="0.35">
      <c r="M155" s="30" t="s">
        <v>2078</v>
      </c>
      <c r="N155">
        <f>COUNTIF(Questions!D:D,Nombre!M157)</f>
        <v>2</v>
      </c>
    </row>
    <row r="156" spans="13:14" x14ac:dyDescent="0.35">
      <c r="M156" s="54" t="s">
        <v>932</v>
      </c>
      <c r="N156">
        <f>COUNTIF(Questions!D:D,Nombre!M158)</f>
        <v>2</v>
      </c>
    </row>
    <row r="157" spans="13:14" x14ac:dyDescent="0.35">
      <c r="M157" s="15" t="s">
        <v>938</v>
      </c>
      <c r="N157">
        <f>COUNTIF(Questions!D:D,Nombre!M159)</f>
        <v>2</v>
      </c>
    </row>
    <row r="158" spans="13:14" x14ac:dyDescent="0.35">
      <c r="M158" s="27" t="s">
        <v>1028</v>
      </c>
      <c r="N158">
        <f>COUNTIF(Questions!D:D,Nombre!M160)</f>
        <v>2</v>
      </c>
    </row>
    <row r="159" spans="13:14" x14ac:dyDescent="0.35">
      <c r="M159" s="39" t="s">
        <v>950</v>
      </c>
      <c r="N159">
        <f>COUNTIF(Questions!D:D,Nombre!M161)</f>
        <v>2</v>
      </c>
    </row>
    <row r="160" spans="13:14" x14ac:dyDescent="0.35">
      <c r="M160" s="39" t="s">
        <v>956</v>
      </c>
      <c r="N160">
        <f>COUNTIF(Questions!D:D,Nombre!M162)</f>
        <v>2</v>
      </c>
    </row>
    <row r="161" spans="13:14" x14ac:dyDescent="0.35">
      <c r="M161" s="15" t="s">
        <v>960</v>
      </c>
      <c r="N161">
        <f>COUNTIF(Questions!D:D,Nombre!M163)</f>
        <v>2</v>
      </c>
    </row>
    <row r="162" spans="13:14" x14ac:dyDescent="0.35">
      <c r="M162" s="21" t="s">
        <v>1822</v>
      </c>
      <c r="N162">
        <f>COUNTIF(Questions!D:D,Nombre!M164)</f>
        <v>2</v>
      </c>
    </row>
    <row r="163" spans="13:14" x14ac:dyDescent="0.35">
      <c r="M163" s="39" t="s">
        <v>966</v>
      </c>
      <c r="N163">
        <f>COUNTIF(Questions!D:D,Nombre!M165)</f>
        <v>2</v>
      </c>
    </row>
    <row r="164" spans="13:14" x14ac:dyDescent="0.35">
      <c r="M164" s="27" t="s">
        <v>1100</v>
      </c>
      <c r="N164">
        <f>COUNTIF(Questions!D:D,Nombre!M166)</f>
        <v>2</v>
      </c>
    </row>
    <row r="165" spans="13:14" x14ac:dyDescent="0.35">
      <c r="M165" s="51" t="s">
        <v>1833</v>
      </c>
      <c r="N165">
        <f>COUNTIF(Questions!D:D,Nombre!M167)</f>
        <v>2</v>
      </c>
    </row>
    <row r="166" spans="13:14" x14ac:dyDescent="0.35">
      <c r="M166" s="39" t="s">
        <v>978</v>
      </c>
      <c r="N166">
        <f>COUNTIF(Questions!D:D,Nombre!M168)</f>
        <v>2</v>
      </c>
    </row>
    <row r="167" spans="13:14" x14ac:dyDescent="0.35">
      <c r="M167" s="39" t="s">
        <v>986</v>
      </c>
      <c r="N167">
        <f>COUNTIF(Questions!D:D,Nombre!M169)</f>
        <v>2</v>
      </c>
    </row>
    <row r="168" spans="13:14" x14ac:dyDescent="0.35">
      <c r="M168" s="39" t="s">
        <v>992</v>
      </c>
      <c r="N168">
        <f>COUNTIF(Questions!D:D,Nombre!M170)</f>
        <v>0</v>
      </c>
    </row>
    <row r="169" spans="13:14" x14ac:dyDescent="0.35">
      <c r="M169" s="45" t="s">
        <v>998</v>
      </c>
      <c r="N169">
        <f>COUNTIF(Questions!D:D,Nombre!M171)</f>
        <v>2</v>
      </c>
    </row>
    <row r="170" spans="13:14" x14ac:dyDescent="0.35">
      <c r="M170" s="45" t="s">
        <v>2079</v>
      </c>
      <c r="N170">
        <f>COUNTIF(Questions!D:D,Nombre!M172)</f>
        <v>2</v>
      </c>
    </row>
    <row r="171" spans="13:14" x14ac:dyDescent="0.35">
      <c r="M171" s="45" t="s">
        <v>1004</v>
      </c>
      <c r="N171">
        <f>COUNTIF(Questions!D:D,Nombre!M173)</f>
        <v>2</v>
      </c>
    </row>
    <row r="172" spans="13:14" x14ac:dyDescent="0.35">
      <c r="M172" s="45" t="s">
        <v>1010</v>
      </c>
      <c r="N172">
        <f>COUNTIF(Questions!D:D,Nombre!M174)</f>
        <v>2</v>
      </c>
    </row>
    <row r="173" spans="13:14" x14ac:dyDescent="0.35">
      <c r="M173" s="30" t="s">
        <v>1016</v>
      </c>
      <c r="N173">
        <f>COUNTIF(Questions!D:D,Nombre!M175)</f>
        <v>0</v>
      </c>
    </row>
    <row r="174" spans="13:14" x14ac:dyDescent="0.35">
      <c r="M174" s="45" t="s">
        <v>9</v>
      </c>
      <c r="N174">
        <f>COUNTIF(Questions!D:D,Nombre!M176)</f>
        <v>2</v>
      </c>
    </row>
    <row r="175" spans="13:14" x14ac:dyDescent="0.35">
      <c r="M175" s="45" t="s">
        <v>2080</v>
      </c>
      <c r="N175">
        <f>COUNTIF(Questions!D:D,Nombre!M177)</f>
        <v>2</v>
      </c>
    </row>
    <row r="176" spans="13:14" x14ac:dyDescent="0.35">
      <c r="M176" s="24" t="s">
        <v>1022</v>
      </c>
      <c r="N176">
        <f>COUNTIF(Questions!D:D,Nombre!M178)</f>
        <v>2</v>
      </c>
    </row>
    <row r="177" spans="13:14" x14ac:dyDescent="0.35">
      <c r="M177" s="27" t="s">
        <v>1129</v>
      </c>
      <c r="N177">
        <f>COUNTIF(Questions!D:D,Nombre!M179)</f>
        <v>2</v>
      </c>
    </row>
    <row r="178" spans="13:14" x14ac:dyDescent="0.35">
      <c r="M178" s="42" t="s">
        <v>1034</v>
      </c>
      <c r="N178">
        <f>COUNTIF(Questions!D:D,Nombre!M180)</f>
        <v>2</v>
      </c>
    </row>
    <row r="179" spans="13:14" x14ac:dyDescent="0.35">
      <c r="M179" s="33" t="s">
        <v>1040</v>
      </c>
      <c r="N179">
        <f>COUNTIF(Questions!D:D,Nombre!M181)</f>
        <v>0</v>
      </c>
    </row>
    <row r="180" spans="13:14" x14ac:dyDescent="0.35">
      <c r="M180" s="15" t="s">
        <v>1046</v>
      </c>
      <c r="N180">
        <f>COUNTIF(Questions!D:D,Nombre!M182)</f>
        <v>2</v>
      </c>
    </row>
    <row r="181" spans="13:14" x14ac:dyDescent="0.35">
      <c r="M181" s="24" t="s">
        <v>17</v>
      </c>
      <c r="N181">
        <f>COUNTIF(Questions!D:D,Nombre!M183)</f>
        <v>2</v>
      </c>
    </row>
    <row r="182" spans="13:14" x14ac:dyDescent="0.35">
      <c r="M182" s="48" t="s">
        <v>1052</v>
      </c>
      <c r="N182">
        <f>COUNTIF(Questions!D:D,Nombre!M184)</f>
        <v>2</v>
      </c>
    </row>
    <row r="183" spans="13:14" x14ac:dyDescent="0.35">
      <c r="M183" s="39" t="s">
        <v>1058</v>
      </c>
      <c r="N183">
        <f>COUNTIF(Questions!D:D,Nombre!M185)</f>
        <v>2</v>
      </c>
    </row>
    <row r="184" spans="13:14" x14ac:dyDescent="0.35">
      <c r="M184" s="8" t="s">
        <v>1064</v>
      </c>
      <c r="N184">
        <f>COUNTIF(Questions!D:D,Nombre!M186)</f>
        <v>2</v>
      </c>
    </row>
    <row r="185" spans="13:14" x14ac:dyDescent="0.35">
      <c r="M185" s="27" t="s">
        <v>1242</v>
      </c>
      <c r="N185">
        <f>COUNTIF(Questions!D:D,Nombre!M187)</f>
        <v>2</v>
      </c>
    </row>
    <row r="186" spans="13:14" x14ac:dyDescent="0.35">
      <c r="M186" s="48" t="s">
        <v>1070</v>
      </c>
      <c r="N186">
        <f>COUNTIF(Questions!D:D,Nombre!M188)</f>
        <v>2</v>
      </c>
    </row>
    <row r="187" spans="13:14" x14ac:dyDescent="0.35">
      <c r="M187" s="48" t="s">
        <v>25</v>
      </c>
      <c r="N187">
        <f>COUNTIF(Questions!D:D,Nombre!M189)</f>
        <v>2</v>
      </c>
    </row>
    <row r="188" spans="13:14" x14ac:dyDescent="0.35">
      <c r="M188" s="48" t="s">
        <v>1076</v>
      </c>
      <c r="N188">
        <f>COUNTIF(Questions!D:D,Nombre!M190)</f>
        <v>2</v>
      </c>
    </row>
    <row r="189" spans="13:14" x14ac:dyDescent="0.35">
      <c r="M189" s="45" t="s">
        <v>1082</v>
      </c>
      <c r="N189">
        <f>COUNTIF(Questions!D:D,Nombre!M191)</f>
        <v>2</v>
      </c>
    </row>
    <row r="190" spans="13:14" x14ac:dyDescent="0.35">
      <c r="M190" s="45" t="s">
        <v>1088</v>
      </c>
      <c r="N190">
        <f>COUNTIF(Questions!D:D,Nombre!M192)</f>
        <v>2</v>
      </c>
    </row>
    <row r="191" spans="13:14" x14ac:dyDescent="0.35">
      <c r="M191" s="36" t="s">
        <v>1094</v>
      </c>
      <c r="N191">
        <f>COUNTIF(Questions!D:D,Nombre!M193)</f>
        <v>2</v>
      </c>
    </row>
    <row r="192" spans="13:14" x14ac:dyDescent="0.35">
      <c r="M192" s="27" t="s">
        <v>1304</v>
      </c>
      <c r="N192">
        <f>COUNTIF(Questions!D:D,Nombre!M194)</f>
        <v>2</v>
      </c>
    </row>
    <row r="193" spans="13:14" x14ac:dyDescent="0.35">
      <c r="M193" s="51" t="s">
        <v>1118</v>
      </c>
      <c r="N193">
        <f>COUNTIF(Questions!D:D,Nombre!M195)</f>
        <v>2</v>
      </c>
    </row>
    <row r="194" spans="13:14" x14ac:dyDescent="0.35">
      <c r="M194" s="27" t="s">
        <v>1340</v>
      </c>
      <c r="N194">
        <f>COUNTIF(Questions!D:D,Nombre!M196)</f>
        <v>0</v>
      </c>
    </row>
    <row r="195" spans="13:14" x14ac:dyDescent="0.35">
      <c r="M195" s="48" t="s">
        <v>1134</v>
      </c>
      <c r="N195">
        <f>COUNTIF(Questions!D:D,Nombre!M197)</f>
        <v>2</v>
      </c>
    </row>
    <row r="196" spans="13:14" x14ac:dyDescent="0.35">
      <c r="M196" s="48" t="s">
        <v>2081</v>
      </c>
      <c r="N196">
        <f>COUNTIF(Questions!D:D,Nombre!M198)</f>
        <v>0</v>
      </c>
    </row>
    <row r="197" spans="13:14" x14ac:dyDescent="0.35">
      <c r="M197" s="39" t="s">
        <v>1140</v>
      </c>
      <c r="N197">
        <f>COUNTIF(Questions!D:D,Nombre!M199)</f>
        <v>0</v>
      </c>
    </row>
    <row r="198" spans="13:14" x14ac:dyDescent="0.35">
      <c r="M198" s="45" t="s">
        <v>2082</v>
      </c>
      <c r="N198">
        <f>COUNTIF(Questions!D:D,Nombre!M200)</f>
        <v>2</v>
      </c>
    </row>
    <row r="199" spans="13:14" x14ac:dyDescent="0.35">
      <c r="M199" s="42" t="s">
        <v>2083</v>
      </c>
      <c r="N199">
        <f>COUNTIF(Questions!D:D,Nombre!M201)</f>
        <v>2</v>
      </c>
    </row>
    <row r="200" spans="13:14" x14ac:dyDescent="0.35">
      <c r="M200" s="8" t="s">
        <v>1156</v>
      </c>
      <c r="N200">
        <f>COUNTIF(Questions!D:D,Nombre!M202)</f>
        <v>2</v>
      </c>
    </row>
    <row r="201" spans="13:14" x14ac:dyDescent="0.35">
      <c r="M201" s="8" t="s">
        <v>1164</v>
      </c>
      <c r="N201">
        <f>COUNTIF(Questions!D:D,Nombre!M203)</f>
        <v>2</v>
      </c>
    </row>
    <row r="202" spans="13:14" x14ac:dyDescent="0.35">
      <c r="M202" s="45" t="s">
        <v>1170</v>
      </c>
      <c r="N202">
        <f>COUNTIF(Questions!D:D,Nombre!M204)</f>
        <v>2</v>
      </c>
    </row>
    <row r="203" spans="13:14" x14ac:dyDescent="0.35">
      <c r="M203" s="45" t="s">
        <v>1176</v>
      </c>
      <c r="N203">
        <f>COUNTIF(Questions!D:D,Nombre!M205)</f>
        <v>2</v>
      </c>
    </row>
    <row r="204" spans="13:14" x14ac:dyDescent="0.35">
      <c r="M204" s="45" t="s">
        <v>1182</v>
      </c>
      <c r="N204">
        <f>COUNTIF(Questions!D:D,Nombre!M206)</f>
        <v>2</v>
      </c>
    </row>
    <row r="205" spans="13:14" x14ac:dyDescent="0.35">
      <c r="M205" s="30" t="s">
        <v>1188</v>
      </c>
      <c r="N205">
        <f>COUNTIF(Questions!D:D,Nombre!M207)</f>
        <v>0</v>
      </c>
    </row>
    <row r="206" spans="13:14" x14ac:dyDescent="0.35">
      <c r="M206" s="27" t="s">
        <v>1194</v>
      </c>
      <c r="N206">
        <f>COUNTIF(Questions!D:D,Nombre!M208)</f>
        <v>2</v>
      </c>
    </row>
    <row r="207" spans="13:14" x14ac:dyDescent="0.35">
      <c r="M207" s="15" t="s">
        <v>2084</v>
      </c>
      <c r="N207">
        <f>COUNTIF(Questions!D:D,Nombre!M209)</f>
        <v>2</v>
      </c>
    </row>
    <row r="208" spans="13:14" x14ac:dyDescent="0.35">
      <c r="M208" s="15" t="s">
        <v>1212</v>
      </c>
      <c r="N208">
        <f>COUNTIF(Questions!D:D,Nombre!M210)</f>
        <v>0</v>
      </c>
    </row>
    <row r="209" spans="13:14" x14ac:dyDescent="0.35">
      <c r="M209" s="24" t="s">
        <v>32</v>
      </c>
      <c r="N209">
        <f>COUNTIF(Questions!D:D,Nombre!M211)</f>
        <v>2</v>
      </c>
    </row>
    <row r="210" spans="13:14" x14ac:dyDescent="0.35">
      <c r="M210" s="24" t="s">
        <v>2085</v>
      </c>
      <c r="N210">
        <f>COUNTIF(Questions!D:D,Nombre!M212)</f>
        <v>2</v>
      </c>
    </row>
    <row r="211" spans="13:14" x14ac:dyDescent="0.35">
      <c r="M211" s="51" t="s">
        <v>1218</v>
      </c>
      <c r="N211">
        <f>COUNTIF(Questions!D:D,Nombre!M213)</f>
        <v>2</v>
      </c>
    </row>
    <row r="212" spans="13:14" x14ac:dyDescent="0.35">
      <c r="M212" s="30" t="s">
        <v>1224</v>
      </c>
      <c r="N212">
        <f>COUNTIF(Questions!D:D,Nombre!M214)</f>
        <v>2</v>
      </c>
    </row>
    <row r="213" spans="13:14" x14ac:dyDescent="0.35">
      <c r="M213" s="45" t="s">
        <v>1230</v>
      </c>
      <c r="N213">
        <f>COUNTIF(Questions!D:D,Nombre!M215)</f>
        <v>2</v>
      </c>
    </row>
    <row r="214" spans="13:14" x14ac:dyDescent="0.35">
      <c r="M214" s="54" t="s">
        <v>1236</v>
      </c>
      <c r="N214">
        <f>COUNTIF(Questions!D:D,Nombre!M216)</f>
        <v>2</v>
      </c>
    </row>
    <row r="215" spans="13:14" x14ac:dyDescent="0.35">
      <c r="M215" s="27" t="s">
        <v>1382</v>
      </c>
      <c r="N215">
        <f>COUNTIF(Questions!D:D,Nombre!M217)</f>
        <v>0</v>
      </c>
    </row>
    <row r="216" spans="13:14" x14ac:dyDescent="0.35">
      <c r="M216" s="39" t="s">
        <v>1248</v>
      </c>
      <c r="N216">
        <f>COUNTIF(Questions!D:D,Nombre!M218)</f>
        <v>0</v>
      </c>
    </row>
    <row r="217" spans="13:14" x14ac:dyDescent="0.35">
      <c r="M217" s="39" t="s">
        <v>2086</v>
      </c>
      <c r="N217">
        <f>COUNTIF(Questions!D:D,Nombre!M219)</f>
        <v>0</v>
      </c>
    </row>
    <row r="218" spans="13:14" x14ac:dyDescent="0.35">
      <c r="M218" s="24" t="s">
        <v>2087</v>
      </c>
      <c r="N218">
        <f>COUNTIF(Questions!D:D,Nombre!M220)</f>
        <v>2</v>
      </c>
    </row>
    <row r="219" spans="13:14" x14ac:dyDescent="0.35">
      <c r="M219" s="45" t="s">
        <v>2088</v>
      </c>
      <c r="N219">
        <f>COUNTIF(Questions!D:D,Nombre!M221)</f>
        <v>2</v>
      </c>
    </row>
    <row r="220" spans="13:14" x14ac:dyDescent="0.35">
      <c r="M220" s="8" t="s">
        <v>1264</v>
      </c>
      <c r="N220">
        <f>COUNTIF(Questions!D:D,Nombre!M222)</f>
        <v>0</v>
      </c>
    </row>
    <row r="221" spans="13:14" x14ac:dyDescent="0.35">
      <c r="M221" s="39" t="s">
        <v>1270</v>
      </c>
      <c r="N221">
        <f>COUNTIF(Questions!D:D,Nombre!M223)</f>
        <v>2</v>
      </c>
    </row>
    <row r="222" spans="13:14" x14ac:dyDescent="0.35">
      <c r="M222" s="39" t="s">
        <v>2089</v>
      </c>
      <c r="N222">
        <f>COUNTIF(Questions!D:D,Nombre!M224)</f>
        <v>2</v>
      </c>
    </row>
    <row r="223" spans="13:14" x14ac:dyDescent="0.35">
      <c r="M223" s="24" t="s">
        <v>1276</v>
      </c>
      <c r="N223">
        <f>COUNTIF(Questions!D:D,Nombre!M225)</f>
        <v>2</v>
      </c>
    </row>
    <row r="224" spans="13:14" x14ac:dyDescent="0.35">
      <c r="M224" s="33" t="s">
        <v>1282</v>
      </c>
      <c r="N224">
        <f>COUNTIF(Questions!D:D,Nombre!M226)</f>
        <v>2</v>
      </c>
    </row>
    <row r="225" spans="13:14" x14ac:dyDescent="0.35">
      <c r="M225" s="39" t="s">
        <v>1288</v>
      </c>
      <c r="N225">
        <f>COUNTIF(Questions!D:D,Nombre!M227)</f>
        <v>0</v>
      </c>
    </row>
    <row r="226" spans="13:14" x14ac:dyDescent="0.35">
      <c r="M226" s="18" t="s">
        <v>1294</v>
      </c>
      <c r="N226">
        <f>COUNTIF(Questions!D:D,Nombre!M228)</f>
        <v>2</v>
      </c>
    </row>
    <row r="227" spans="13:14" x14ac:dyDescent="0.35">
      <c r="M227" s="21" t="s">
        <v>2090</v>
      </c>
      <c r="N227">
        <f>COUNTIF(Questions!D:D,Nombre!M229)</f>
        <v>2</v>
      </c>
    </row>
    <row r="228" spans="13:14" x14ac:dyDescent="0.35">
      <c r="M228" s="39" t="s">
        <v>1308</v>
      </c>
      <c r="N228">
        <f>COUNTIF(Questions!D:D,Nombre!M230)</f>
        <v>2</v>
      </c>
    </row>
    <row r="229" spans="13:14" x14ac:dyDescent="0.35">
      <c r="M229" s="45" t="s">
        <v>1314</v>
      </c>
      <c r="N229">
        <f>COUNTIF(Questions!D:D,Nombre!M231)</f>
        <v>2</v>
      </c>
    </row>
    <row r="230" spans="13:14" x14ac:dyDescent="0.35">
      <c r="M230" s="8" t="s">
        <v>1326</v>
      </c>
      <c r="N230">
        <f>COUNTIF(Questions!D:D,Nombre!M232)</f>
        <v>2</v>
      </c>
    </row>
    <row r="231" spans="13:14" x14ac:dyDescent="0.35">
      <c r="M231" s="27" t="s">
        <v>1332</v>
      </c>
      <c r="N231">
        <f>COUNTIF(Questions!D:D,Nombre!M233)</f>
        <v>0</v>
      </c>
    </row>
    <row r="232" spans="13:14" x14ac:dyDescent="0.35">
      <c r="M232" s="39" t="s">
        <v>1348</v>
      </c>
      <c r="N232">
        <f>COUNTIF(Questions!D:D,Nombre!M234)</f>
        <v>0</v>
      </c>
    </row>
    <row r="233" spans="13:14" x14ac:dyDescent="0.35">
      <c r="M233" s="15" t="s">
        <v>2091</v>
      </c>
      <c r="N233">
        <f>COUNTIF(Questions!D:D,Nombre!M235)</f>
        <v>2</v>
      </c>
    </row>
    <row r="234" spans="13:14" x14ac:dyDescent="0.35">
      <c r="M234" s="42" t="s">
        <v>2092</v>
      </c>
      <c r="N234">
        <f>COUNTIF(Questions!D:D,Nombre!M236)</f>
        <v>0</v>
      </c>
    </row>
    <row r="235" spans="13:14" x14ac:dyDescent="0.35">
      <c r="M235" s="42" t="s">
        <v>1362</v>
      </c>
      <c r="N235">
        <f>COUNTIF(Questions!D:D,Nombre!M237)</f>
        <v>0</v>
      </c>
    </row>
    <row r="236" spans="13:14" x14ac:dyDescent="0.35">
      <c r="M236" s="18" t="s">
        <v>2093</v>
      </c>
      <c r="N236">
        <f>COUNTIF(Questions!D:D,Nombre!M238)</f>
        <v>2</v>
      </c>
    </row>
    <row r="237" spans="13:14" x14ac:dyDescent="0.35">
      <c r="M237" s="27" t="s">
        <v>2094</v>
      </c>
      <c r="N237">
        <f>COUNTIF(Questions!D:D,Nombre!M239)</f>
        <v>2</v>
      </c>
    </row>
    <row r="238" spans="13:14" x14ac:dyDescent="0.35">
      <c r="M238" s="27" t="s">
        <v>1409</v>
      </c>
      <c r="N238">
        <f>COUNTIF(Questions!D:D,Nombre!M240)</f>
        <v>2</v>
      </c>
    </row>
    <row r="239" spans="13:14" x14ac:dyDescent="0.35">
      <c r="M239" s="18" t="s">
        <v>1386</v>
      </c>
      <c r="N239">
        <f>COUNTIF(Questions!D:D,Nombre!M241)</f>
        <v>2</v>
      </c>
    </row>
    <row r="240" spans="13:14" x14ac:dyDescent="0.35">
      <c r="M240" s="27" t="s">
        <v>1415</v>
      </c>
      <c r="N240">
        <f>COUNTIF(Questions!D:D,Nombre!M242)</f>
        <v>2</v>
      </c>
    </row>
    <row r="241" spans="13:14" x14ac:dyDescent="0.35">
      <c r="M241" s="45" t="s">
        <v>1397</v>
      </c>
      <c r="N241">
        <f>COUNTIF(Questions!D:D,Nombre!M243)</f>
        <v>2</v>
      </c>
    </row>
    <row r="242" spans="13:14" x14ac:dyDescent="0.35">
      <c r="M242" s="15" t="s">
        <v>1403</v>
      </c>
      <c r="N242">
        <f>COUNTIF(Questions!D:D,Nombre!M244)</f>
        <v>2</v>
      </c>
    </row>
    <row r="243" spans="13:14" x14ac:dyDescent="0.35">
      <c r="M243" s="27" t="s">
        <v>1421</v>
      </c>
      <c r="N243">
        <f>COUNTIF(Questions!D:D,Nombre!M245)</f>
        <v>2</v>
      </c>
    </row>
    <row r="244" spans="13:14" x14ac:dyDescent="0.35">
      <c r="M244" s="27" t="s">
        <v>1576</v>
      </c>
      <c r="N244">
        <f>COUNTIF(Questions!D:D,Nombre!M246)</f>
        <v>2</v>
      </c>
    </row>
    <row r="245" spans="13:14" x14ac:dyDescent="0.35">
      <c r="M245" s="27" t="s">
        <v>1604</v>
      </c>
      <c r="N245">
        <f>COUNTIF(Questions!D:D,Nombre!M247)</f>
        <v>2</v>
      </c>
    </row>
    <row r="246" spans="13:14" x14ac:dyDescent="0.35">
      <c r="M246" s="27" t="s">
        <v>1644</v>
      </c>
      <c r="N246">
        <f>COUNTIF(Questions!D:D,Nombre!M248)</f>
        <v>2</v>
      </c>
    </row>
    <row r="247" spans="13:14" x14ac:dyDescent="0.35">
      <c r="M247" s="39" t="s">
        <v>1433</v>
      </c>
      <c r="N247">
        <f>COUNTIF(Questions!D:D,Nombre!M249)</f>
        <v>2</v>
      </c>
    </row>
    <row r="248" spans="13:14" x14ac:dyDescent="0.35">
      <c r="M248" s="39" t="s">
        <v>1439</v>
      </c>
      <c r="N248">
        <f>COUNTIF(Questions!D:D,Nombre!M250)</f>
        <v>2</v>
      </c>
    </row>
    <row r="249" spans="13:14" x14ac:dyDescent="0.35">
      <c r="M249" s="15" t="s">
        <v>1445</v>
      </c>
      <c r="N249">
        <f>COUNTIF(Questions!D:D,Nombre!M251)</f>
        <v>2</v>
      </c>
    </row>
    <row r="250" spans="13:14" x14ac:dyDescent="0.35">
      <c r="M250" s="45" t="s">
        <v>1451</v>
      </c>
      <c r="N250">
        <f>COUNTIF(Questions!D:D,Nombre!M252)</f>
        <v>2</v>
      </c>
    </row>
    <row r="251" spans="13:14" x14ac:dyDescent="0.35">
      <c r="M251" s="8" t="s">
        <v>1456</v>
      </c>
      <c r="N251">
        <f>COUNTIF(Questions!D:D,Nombre!M253)</f>
        <v>2</v>
      </c>
    </row>
    <row r="252" spans="13:14" x14ac:dyDescent="0.35">
      <c r="M252" s="24" t="s">
        <v>1461</v>
      </c>
      <c r="N252">
        <f>COUNTIF(Questions!D:D,Nombre!M254)</f>
        <v>2</v>
      </c>
    </row>
    <row r="253" spans="13:14" x14ac:dyDescent="0.35">
      <c r="M253" s="54" t="s">
        <v>1474</v>
      </c>
      <c r="N253">
        <f>COUNTIF(Questions!D:D,Nombre!M255)</f>
        <v>2</v>
      </c>
    </row>
    <row r="254" spans="13:14" x14ac:dyDescent="0.35">
      <c r="M254" s="48" t="s">
        <v>1480</v>
      </c>
      <c r="N254">
        <f>COUNTIF(Questions!D:D,Nombre!M256)</f>
        <v>2</v>
      </c>
    </row>
    <row r="255" spans="13:14" x14ac:dyDescent="0.35">
      <c r="M255" s="51" t="s">
        <v>1486</v>
      </c>
      <c r="N255">
        <f>COUNTIF(Questions!D:D,Nombre!M257)</f>
        <v>2</v>
      </c>
    </row>
    <row r="256" spans="13:14" x14ac:dyDescent="0.35">
      <c r="M256" s="27" t="s">
        <v>1492</v>
      </c>
      <c r="N256">
        <f>COUNTIF(Questions!D:D,Nombre!M258)</f>
        <v>2</v>
      </c>
    </row>
    <row r="257" spans="13:14" x14ac:dyDescent="0.35">
      <c r="M257" s="51" t="s">
        <v>1504</v>
      </c>
      <c r="N257">
        <f>COUNTIF(Questions!D:D,Nombre!M259)</f>
        <v>0</v>
      </c>
    </row>
    <row r="258" spans="13:14" x14ac:dyDescent="0.35">
      <c r="M258" s="45" t="s">
        <v>1498</v>
      </c>
      <c r="N258">
        <f>COUNTIF(Questions!D:D,Nombre!M260)</f>
        <v>0</v>
      </c>
    </row>
    <row r="259" spans="13:14" x14ac:dyDescent="0.35">
      <c r="M259" s="36" t="s">
        <v>2095</v>
      </c>
      <c r="N259">
        <f>COUNTIF(Questions!D:D,Nombre!M261)</f>
        <v>2</v>
      </c>
    </row>
    <row r="260" spans="13:14" x14ac:dyDescent="0.35">
      <c r="M260" s="18" t="s">
        <v>2096</v>
      </c>
      <c r="N260">
        <f>COUNTIF(Questions!D:D,Nombre!M262)</f>
        <v>2</v>
      </c>
    </row>
    <row r="261" spans="13:14" x14ac:dyDescent="0.35">
      <c r="M261" s="54" t="s">
        <v>1510</v>
      </c>
      <c r="N261">
        <f>COUNTIF(Questions!D:D,Nombre!M263)</f>
        <v>2</v>
      </c>
    </row>
    <row r="262" spans="13:14" x14ac:dyDescent="0.35">
      <c r="M262" s="54" t="s">
        <v>1522</v>
      </c>
      <c r="N262">
        <f>COUNTIF(Questions!D:D,Nombre!M26)</f>
        <v>2</v>
      </c>
    </row>
    <row r="263" spans="13:14" x14ac:dyDescent="0.35">
      <c r="M263" s="21" t="s">
        <v>1528</v>
      </c>
      <c r="N263">
        <f>COUNTIF(Questions!D:D,Nombre!M264)</f>
        <v>2</v>
      </c>
    </row>
    <row r="264" spans="13:14" x14ac:dyDescent="0.35">
      <c r="M264" s="24" t="s">
        <v>1534</v>
      </c>
      <c r="N264">
        <f>COUNTIF(Questions!D:D,Nombre!M265)</f>
        <v>0</v>
      </c>
    </row>
    <row r="265" spans="13:14" x14ac:dyDescent="0.35">
      <c r="M265" s="21" t="s">
        <v>2097</v>
      </c>
      <c r="N265">
        <f>COUNTIF(Questions!D:D,Nombre!M266)</f>
        <v>2</v>
      </c>
    </row>
    <row r="266" spans="13:14" x14ac:dyDescent="0.35">
      <c r="M266" s="30" t="s">
        <v>1552</v>
      </c>
      <c r="N266">
        <f>COUNTIF(Questions!D:D,Nombre!M267)</f>
        <v>2</v>
      </c>
    </row>
    <row r="267" spans="13:14" x14ac:dyDescent="0.35">
      <c r="M267" s="54" t="s">
        <v>1558</v>
      </c>
      <c r="N267">
        <f>COUNTIF(Questions!D:D,Nombre!M268)</f>
        <v>2</v>
      </c>
    </row>
    <row r="268" spans="13:14" x14ac:dyDescent="0.35">
      <c r="M268" s="18" t="s">
        <v>1564</v>
      </c>
      <c r="N268">
        <f>COUNTIF(Questions!D:D,Nombre!M269)</f>
        <v>2</v>
      </c>
    </row>
    <row r="269" spans="13:14" x14ac:dyDescent="0.35">
      <c r="M269" s="24" t="s">
        <v>1570</v>
      </c>
      <c r="N269">
        <f>COUNTIF(Questions!D:D,Nombre!M270)</f>
        <v>0</v>
      </c>
    </row>
    <row r="270" spans="13:14" x14ac:dyDescent="0.35">
      <c r="M270" s="27" t="s">
        <v>2098</v>
      </c>
      <c r="N270">
        <f>COUNTIF(Questions!D:D,Nombre!M271)</f>
        <v>2</v>
      </c>
    </row>
    <row r="271" spans="13:14" x14ac:dyDescent="0.35">
      <c r="M271" s="27" t="s">
        <v>1581</v>
      </c>
      <c r="N271">
        <f>COUNTIF(Questions!D:D,Nombre!M272)</f>
        <v>2</v>
      </c>
    </row>
    <row r="272" spans="13:14" x14ac:dyDescent="0.35">
      <c r="M272" s="54" t="s">
        <v>1889</v>
      </c>
      <c r="N272">
        <f>COUNTIF(Questions!D:D,Nombre!M273)</f>
        <v>0</v>
      </c>
    </row>
    <row r="273" spans="13:14" x14ac:dyDescent="0.35">
      <c r="M273" s="54" t="s">
        <v>2099</v>
      </c>
      <c r="N273">
        <f>COUNTIF(Questions!D:D,Nombre!M274)</f>
        <v>0</v>
      </c>
    </row>
    <row r="274" spans="13:14" x14ac:dyDescent="0.35">
      <c r="M274" s="48" t="s">
        <v>2100</v>
      </c>
      <c r="N274">
        <f>COUNTIF(Questions!D:D,Nombre!M275)</f>
        <v>2</v>
      </c>
    </row>
    <row r="275" spans="13:14" x14ac:dyDescent="0.35">
      <c r="M275" s="48" t="s">
        <v>1592</v>
      </c>
      <c r="N275">
        <f>COUNTIF(Questions!D:D,Nombre!M276)</f>
        <v>2</v>
      </c>
    </row>
    <row r="276" spans="13:14" x14ac:dyDescent="0.35">
      <c r="M276" s="51" t="s">
        <v>1598</v>
      </c>
      <c r="N276">
        <f>COUNTIF(Questions!D:D,Nombre!M277)</f>
        <v>0</v>
      </c>
    </row>
    <row r="277" spans="13:14" x14ac:dyDescent="0.35">
      <c r="M277" s="27" t="s">
        <v>2101</v>
      </c>
      <c r="N277">
        <f>COUNTIF(Questions!D:D,Nombre!M278)</f>
        <v>2</v>
      </c>
    </row>
    <row r="278" spans="13:14" x14ac:dyDescent="0.35">
      <c r="M278" s="27" t="s">
        <v>1691</v>
      </c>
      <c r="N278">
        <f>COUNTIF(Questions!D:D,Nombre!M279)</f>
        <v>2</v>
      </c>
    </row>
    <row r="279" spans="13:14" x14ac:dyDescent="0.35">
      <c r="M279" s="39" t="s">
        <v>1615</v>
      </c>
      <c r="N279">
        <f>COUNTIF(Questions!D:D,Nombre!M280)</f>
        <v>2</v>
      </c>
    </row>
    <row r="280" spans="13:14" x14ac:dyDescent="0.35">
      <c r="M280" s="54" t="s">
        <v>1621</v>
      </c>
      <c r="N280">
        <f>COUNTIF(Questions!D:D,Nombre!M281)</f>
        <v>2</v>
      </c>
    </row>
    <row r="281" spans="13:14" x14ac:dyDescent="0.35">
      <c r="M281" s="21" t="s">
        <v>1626</v>
      </c>
      <c r="N281">
        <f>COUNTIF(Questions!D:D,Nombre!M282)</f>
        <v>0</v>
      </c>
    </row>
    <row r="282" spans="13:14" x14ac:dyDescent="0.35">
      <c r="M282" s="30" t="s">
        <v>2102</v>
      </c>
      <c r="N282">
        <f>COUNTIF(Questions!D:D,Nombre!M283)</f>
        <v>2</v>
      </c>
    </row>
    <row r="283" spans="13:14" x14ac:dyDescent="0.35">
      <c r="M283" s="42" t="s">
        <v>1632</v>
      </c>
      <c r="N283">
        <f>COUNTIF(Questions!D:D,Nombre!M284)</f>
        <v>2</v>
      </c>
    </row>
    <row r="284" spans="13:14" x14ac:dyDescent="0.35">
      <c r="M284" s="45" t="s">
        <v>1638</v>
      </c>
      <c r="N284">
        <f>COUNTIF(Questions!D:D,Nombre!M285)</f>
        <v>0</v>
      </c>
    </row>
    <row r="285" spans="13:14" x14ac:dyDescent="0.35">
      <c r="M285" s="42" t="s">
        <v>2103</v>
      </c>
      <c r="N285">
        <f>COUNTIF(Questions!D:D,Nombre!M286)</f>
        <v>2</v>
      </c>
    </row>
    <row r="286" spans="13:14" x14ac:dyDescent="0.35">
      <c r="M286" s="36" t="s">
        <v>1650</v>
      </c>
      <c r="N286">
        <f>COUNTIF(Questions!D:D,Nombre!M287)</f>
        <v>2</v>
      </c>
    </row>
    <row r="287" spans="13:14" x14ac:dyDescent="0.35">
      <c r="M287" s="30" t="s">
        <v>1656</v>
      </c>
      <c r="N287">
        <f>COUNTIF(Questions!D:D,Nombre!M288)</f>
        <v>0</v>
      </c>
    </row>
    <row r="288" spans="13:14" x14ac:dyDescent="0.35">
      <c r="M288" s="30" t="s">
        <v>2104</v>
      </c>
      <c r="N288">
        <f>COUNTIF(Questions!D:D,Nombre!M289)</f>
        <v>2</v>
      </c>
    </row>
    <row r="289" spans="13:14" x14ac:dyDescent="0.35">
      <c r="M289" s="24" t="s">
        <v>1666</v>
      </c>
      <c r="N289">
        <f>COUNTIF(Questions!D:D,Nombre!M290)</f>
        <v>2</v>
      </c>
    </row>
    <row r="290" spans="13:14" x14ac:dyDescent="0.35">
      <c r="M290" s="27" t="s">
        <v>1672</v>
      </c>
      <c r="N290">
        <f>COUNTIF(Questions!D:D,Nombre!M291)</f>
        <v>2</v>
      </c>
    </row>
    <row r="291" spans="13:14" x14ac:dyDescent="0.35">
      <c r="M291" s="39" t="s">
        <v>1679</v>
      </c>
      <c r="N291">
        <f>COUNTIF(Questions!D:D,Nombre!M292)</f>
        <v>2</v>
      </c>
    </row>
    <row r="292" spans="13:14" x14ac:dyDescent="0.35">
      <c r="M292" s="30" t="s">
        <v>1685</v>
      </c>
      <c r="N292">
        <f>COUNTIF(Questions!D:D,Nombre!M293)</f>
        <v>2</v>
      </c>
    </row>
    <row r="293" spans="13:14" x14ac:dyDescent="0.35">
      <c r="M293" s="27" t="s">
        <v>1727</v>
      </c>
      <c r="N293">
        <f>COUNTIF(Questions!D:D,Nombre!M294)</f>
        <v>2</v>
      </c>
    </row>
    <row r="294" spans="13:14" x14ac:dyDescent="0.35">
      <c r="M294" s="30" t="s">
        <v>1697</v>
      </c>
      <c r="N294">
        <f>COUNTIF(Questions!D:D,Nombre!M295)</f>
        <v>2</v>
      </c>
    </row>
    <row r="295" spans="13:14" x14ac:dyDescent="0.35">
      <c r="M295" s="39" t="s">
        <v>1703</v>
      </c>
      <c r="N295">
        <f>COUNTIF(Questions!D:D,Nombre!M296)</f>
        <v>0</v>
      </c>
    </row>
    <row r="296" spans="13:14" x14ac:dyDescent="0.35">
      <c r="M296" s="18" t="s">
        <v>2105</v>
      </c>
      <c r="N296">
        <f>COUNTIF(Questions!D:D,Nombre!M83)</f>
        <v>2</v>
      </c>
    </row>
    <row r="297" spans="13:14" x14ac:dyDescent="0.35">
      <c r="M297" s="42" t="s">
        <v>1715</v>
      </c>
      <c r="N297">
        <f>COUNTIF(Questions!D:D,Nombre!M297)</f>
        <v>2</v>
      </c>
    </row>
    <row r="298" spans="13:14" x14ac:dyDescent="0.35">
      <c r="M298" s="15" t="s">
        <v>1721</v>
      </c>
      <c r="N298">
        <f>COUNTIF(Questions!D:D,Nombre!M298)</f>
        <v>2</v>
      </c>
    </row>
    <row r="299" spans="13:14" x14ac:dyDescent="0.35">
      <c r="M299" s="27" t="s">
        <v>1769</v>
      </c>
      <c r="N299">
        <f>COUNTIF(Questions!D:D,Nombre!M299)</f>
        <v>2</v>
      </c>
    </row>
    <row r="300" spans="13:14" x14ac:dyDescent="0.35">
      <c r="M300" s="51" t="s">
        <v>1737</v>
      </c>
      <c r="N300">
        <f>COUNTIF(Questions!D:D,Nombre!M300)</f>
        <v>0</v>
      </c>
    </row>
    <row r="301" spans="13:14" x14ac:dyDescent="0.35">
      <c r="M301" s="51" t="s">
        <v>1735</v>
      </c>
      <c r="N301">
        <f>COUNTIF(Questions!D:D,Nombre!M301)</f>
        <v>2</v>
      </c>
    </row>
    <row r="302" spans="13:14" x14ac:dyDescent="0.35">
      <c r="M302" s="11" t="s">
        <v>1741</v>
      </c>
      <c r="N302">
        <f>COUNTIF(Questions!D:D,Nombre!M302)</f>
        <v>2</v>
      </c>
    </row>
    <row r="303" spans="13:14" x14ac:dyDescent="0.35">
      <c r="M303" s="30" t="s">
        <v>2106</v>
      </c>
      <c r="N303">
        <f>COUNTIF(Questions!D:D,Nombre!M303)</f>
        <v>0</v>
      </c>
    </row>
    <row r="304" spans="13:14" x14ac:dyDescent="0.35">
      <c r="M304" s="39" t="s">
        <v>1752</v>
      </c>
      <c r="N304">
        <f>COUNTIF(Questions!D:D,Nombre!M304)</f>
        <v>2</v>
      </c>
    </row>
    <row r="305" spans="13:14" x14ac:dyDescent="0.35">
      <c r="M305" s="21" t="s">
        <v>1757</v>
      </c>
      <c r="N305">
        <f>COUNTIF(Questions!D:D,Nombre!M305)</f>
        <v>2</v>
      </c>
    </row>
    <row r="306" spans="13:14" x14ac:dyDescent="0.35">
      <c r="M306" s="51" t="s">
        <v>1763</v>
      </c>
      <c r="N306">
        <f>COUNTIF(Questions!D:D,Nombre!M306)</f>
        <v>2</v>
      </c>
    </row>
    <row r="307" spans="13:14" x14ac:dyDescent="0.35">
      <c r="M307" s="27" t="s">
        <v>2107</v>
      </c>
      <c r="N307">
        <f>COUNTIF(Questions!D:D,Nombre!M307)</f>
        <v>0</v>
      </c>
    </row>
    <row r="308" spans="13:14" x14ac:dyDescent="0.35">
      <c r="M308" s="27" t="s">
        <v>1799</v>
      </c>
      <c r="N308">
        <f>COUNTIF(Questions!D:D,Nombre!M308)</f>
        <v>2</v>
      </c>
    </row>
    <row r="309" spans="13:14" x14ac:dyDescent="0.35">
      <c r="M309" s="8" t="s">
        <v>1775</v>
      </c>
      <c r="N309">
        <f>COUNTIF(Questions!D:D,Nombre!M309)</f>
        <v>2</v>
      </c>
    </row>
    <row r="310" spans="13:14" x14ac:dyDescent="0.35">
      <c r="M310" s="45" t="s">
        <v>1781</v>
      </c>
      <c r="N310">
        <f>COUNTIF(Questions!D:D,Nombre!M310)</f>
        <v>2</v>
      </c>
    </row>
    <row r="311" spans="13:14" x14ac:dyDescent="0.35">
      <c r="M311" s="8" t="s">
        <v>1787</v>
      </c>
      <c r="N311">
        <f>COUNTIF(Questions!D:D,Nombre!M311)</f>
        <v>2</v>
      </c>
    </row>
    <row r="312" spans="13:14" x14ac:dyDescent="0.35">
      <c r="M312" s="51" t="s">
        <v>1793</v>
      </c>
      <c r="N312">
        <f>COUNTIF(Questions!D:D,Nombre!M312)</f>
        <v>2</v>
      </c>
    </row>
    <row r="313" spans="13:14" x14ac:dyDescent="0.35">
      <c r="M313" s="27" t="s">
        <v>1875</v>
      </c>
      <c r="N313">
        <f>COUNTIF(Questions!D:D,Nombre!M313)</f>
        <v>2</v>
      </c>
    </row>
    <row r="314" spans="13:14" x14ac:dyDescent="0.35">
      <c r="M314" s="87"/>
    </row>
  </sheetData>
  <autoFilter ref="M1:N313" xr:uid="{00000000-0009-0000-0000-000001000000}">
    <sortState xmlns:xlrd2="http://schemas.microsoft.com/office/spreadsheetml/2017/richdata2" ref="M2:N313">
      <sortCondition ref="M1:M31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6D3F-61FE-4B66-A0B8-A398A07037F2}">
  <dimension ref="A1:B45"/>
  <sheetViews>
    <sheetView topLeftCell="A26" workbookViewId="0">
      <selection activeCell="A45" sqref="A45"/>
    </sheetView>
  </sheetViews>
  <sheetFormatPr baseColWidth="10" defaultRowHeight="14.5" x14ac:dyDescent="0.35"/>
  <sheetData>
    <row r="1" spans="1:2" x14ac:dyDescent="0.35">
      <c r="A1" s="98" t="s">
        <v>2128</v>
      </c>
      <c r="B1" s="98" t="s">
        <v>50</v>
      </c>
    </row>
    <row r="2" spans="1:2" ht="40" x14ac:dyDescent="0.35">
      <c r="A2" s="99" t="s">
        <v>2129</v>
      </c>
      <c r="B2" s="99" t="s">
        <v>2131</v>
      </c>
    </row>
    <row r="3" spans="1:2" ht="17.5" x14ac:dyDescent="0.35">
      <c r="A3" s="100" t="s">
        <v>2130</v>
      </c>
    </row>
    <row r="4" spans="1:2" ht="18" x14ac:dyDescent="0.35">
      <c r="A4" s="98" t="s">
        <v>2132</v>
      </c>
      <c r="B4" s="98" t="s">
        <v>2043</v>
      </c>
    </row>
    <row r="5" spans="1:2" ht="32" x14ac:dyDescent="0.35">
      <c r="A5" s="99" t="s">
        <v>2133</v>
      </c>
      <c r="B5" s="99" t="s">
        <v>2134</v>
      </c>
    </row>
    <row r="6" spans="1:2" ht="17.5" x14ac:dyDescent="0.35">
      <c r="A6" s="100" t="s">
        <v>2130</v>
      </c>
    </row>
    <row r="7" spans="1:2" x14ac:dyDescent="0.35">
      <c r="A7" s="98" t="s">
        <v>2135</v>
      </c>
      <c r="B7" s="98" t="s">
        <v>2126</v>
      </c>
    </row>
    <row r="8" spans="1:2" ht="24" x14ac:dyDescent="0.35">
      <c r="A8" s="99" t="s">
        <v>2136</v>
      </c>
      <c r="B8" s="99" t="s">
        <v>2137</v>
      </c>
    </row>
    <row r="9" spans="1:2" ht="17.5" x14ac:dyDescent="0.35">
      <c r="A9" s="100" t="s">
        <v>2130</v>
      </c>
    </row>
    <row r="10" spans="1:2" ht="18" x14ac:dyDescent="0.35">
      <c r="A10" s="98" t="s">
        <v>2138</v>
      </c>
      <c r="B10" s="98" t="s">
        <v>67</v>
      </c>
    </row>
    <row r="11" spans="1:2" ht="40" x14ac:dyDescent="0.35">
      <c r="A11" s="99" t="s">
        <v>2139</v>
      </c>
      <c r="B11" s="99" t="s">
        <v>2169</v>
      </c>
    </row>
    <row r="12" spans="1:2" ht="17.5" x14ac:dyDescent="0.35">
      <c r="A12" s="100" t="s">
        <v>2130</v>
      </c>
    </row>
    <row r="13" spans="1:2" x14ac:dyDescent="0.35">
      <c r="A13" s="98" t="s">
        <v>2140</v>
      </c>
      <c r="B13" s="98" t="s">
        <v>19</v>
      </c>
    </row>
    <row r="14" spans="1:2" ht="24" x14ac:dyDescent="0.35">
      <c r="A14" s="99" t="s">
        <v>2141</v>
      </c>
      <c r="B14" s="99" t="s">
        <v>2142</v>
      </c>
    </row>
    <row r="15" spans="1:2" ht="17.5" x14ac:dyDescent="0.35">
      <c r="A15" s="100" t="s">
        <v>2130</v>
      </c>
    </row>
    <row r="16" spans="1:2" ht="18" x14ac:dyDescent="0.35">
      <c r="A16" s="98" t="s">
        <v>2143</v>
      </c>
      <c r="B16" s="98" t="s">
        <v>2124</v>
      </c>
    </row>
    <row r="17" spans="1:2" ht="32" x14ac:dyDescent="0.35">
      <c r="A17" s="99" t="s">
        <v>2144</v>
      </c>
      <c r="B17" s="99" t="s">
        <v>2145</v>
      </c>
    </row>
    <row r="18" spans="1:2" ht="17.5" x14ac:dyDescent="0.35">
      <c r="A18" s="100" t="s">
        <v>2130</v>
      </c>
    </row>
    <row r="19" spans="1:2" ht="18" x14ac:dyDescent="0.35">
      <c r="A19" s="98" t="s">
        <v>2146</v>
      </c>
      <c r="B19" s="98" t="s">
        <v>179</v>
      </c>
    </row>
    <row r="20" spans="1:2" ht="32" x14ac:dyDescent="0.35">
      <c r="A20" s="99" t="s">
        <v>2147</v>
      </c>
      <c r="B20" s="99" t="s">
        <v>2148</v>
      </c>
    </row>
    <row r="21" spans="1:2" ht="17.5" x14ac:dyDescent="0.35">
      <c r="A21" s="100" t="s">
        <v>2130</v>
      </c>
    </row>
    <row r="22" spans="1:2" ht="18" x14ac:dyDescent="0.35">
      <c r="A22" s="98" t="s">
        <v>2149</v>
      </c>
      <c r="B22" s="98" t="s">
        <v>2121</v>
      </c>
    </row>
    <row r="23" spans="1:2" ht="24" x14ac:dyDescent="0.35">
      <c r="A23" s="99" t="s">
        <v>2150</v>
      </c>
      <c r="B23" s="99" t="s">
        <v>2151</v>
      </c>
    </row>
    <row r="24" spans="1:2" ht="17.5" x14ac:dyDescent="0.35">
      <c r="A24" s="100" t="s">
        <v>2130</v>
      </c>
    </row>
    <row r="25" spans="1:2" x14ac:dyDescent="0.35">
      <c r="A25" s="98" t="s">
        <v>2152</v>
      </c>
      <c r="B25" s="98" t="s">
        <v>2127</v>
      </c>
    </row>
    <row r="26" spans="1:2" ht="32" x14ac:dyDescent="0.35">
      <c r="A26" s="99" t="s">
        <v>2153</v>
      </c>
      <c r="B26" s="99" t="s">
        <v>2154</v>
      </c>
    </row>
    <row r="27" spans="1:2" ht="17.5" x14ac:dyDescent="0.35">
      <c r="A27" s="100" t="s">
        <v>2130</v>
      </c>
    </row>
    <row r="28" spans="1:2" x14ac:dyDescent="0.35">
      <c r="A28" s="98" t="s">
        <v>2155</v>
      </c>
      <c r="B28" s="98" t="s">
        <v>11</v>
      </c>
    </row>
    <row r="29" spans="1:2" ht="32" x14ac:dyDescent="0.35">
      <c r="A29" s="99" t="s">
        <v>2156</v>
      </c>
      <c r="B29" s="99" t="s">
        <v>2157</v>
      </c>
    </row>
    <row r="30" spans="1:2" ht="17.5" x14ac:dyDescent="0.35">
      <c r="A30" s="100" t="s">
        <v>2130</v>
      </c>
    </row>
    <row r="31" spans="1:2" ht="18" x14ac:dyDescent="0.35">
      <c r="A31" s="98" t="s">
        <v>2158</v>
      </c>
      <c r="B31" s="98" t="s">
        <v>27</v>
      </c>
    </row>
    <row r="32" spans="1:2" ht="40" x14ac:dyDescent="0.35">
      <c r="A32" s="99" t="s">
        <v>2159</v>
      </c>
      <c r="B32" s="99" t="s">
        <v>2160</v>
      </c>
    </row>
    <row r="33" spans="1:2" ht="17.5" x14ac:dyDescent="0.35">
      <c r="A33" s="100" t="s">
        <v>2130</v>
      </c>
    </row>
    <row r="34" spans="1:2" ht="18" x14ac:dyDescent="0.35">
      <c r="A34" s="98" t="s">
        <v>2161</v>
      </c>
      <c r="B34" s="98" t="s">
        <v>2120</v>
      </c>
    </row>
    <row r="35" spans="1:2" ht="24" x14ac:dyDescent="0.35">
      <c r="A35" s="99" t="s">
        <v>2162</v>
      </c>
      <c r="B35" s="99" t="s">
        <v>2170</v>
      </c>
    </row>
    <row r="36" spans="1:2" ht="17.5" x14ac:dyDescent="0.35">
      <c r="A36" s="100" t="s">
        <v>2130</v>
      </c>
    </row>
    <row r="37" spans="1:2" ht="18" x14ac:dyDescent="0.35">
      <c r="A37" s="98" t="s">
        <v>2163</v>
      </c>
      <c r="B37" s="98" t="s">
        <v>2125</v>
      </c>
    </row>
    <row r="38" spans="1:2" ht="32" x14ac:dyDescent="0.35">
      <c r="A38" s="99" t="s">
        <v>2164</v>
      </c>
      <c r="B38" s="99" t="s">
        <v>2165</v>
      </c>
    </row>
    <row r="39" spans="1:2" ht="17.5" x14ac:dyDescent="0.35">
      <c r="A39" s="100" t="s">
        <v>2130</v>
      </c>
    </row>
    <row r="40" spans="1:2" ht="18" x14ac:dyDescent="0.35">
      <c r="A40" s="98" t="s">
        <v>2166</v>
      </c>
      <c r="B40" s="98" t="s">
        <v>2167</v>
      </c>
    </row>
    <row r="41" spans="1:2" ht="32" x14ac:dyDescent="0.35">
      <c r="A41" s="99" t="s">
        <v>2172</v>
      </c>
      <c r="B41" s="99" t="s">
        <v>2171</v>
      </c>
    </row>
    <row r="42" spans="1:2" ht="17.5" x14ac:dyDescent="0.35">
      <c r="A42" s="100" t="s">
        <v>2130</v>
      </c>
    </row>
    <row r="43" spans="1:2" ht="18" x14ac:dyDescent="0.35">
      <c r="A43" s="98" t="s">
        <v>2168</v>
      </c>
      <c r="B43" s="98" t="s">
        <v>2122</v>
      </c>
    </row>
    <row r="44" spans="1:2" ht="32" x14ac:dyDescent="0.35">
      <c r="A44" s="99" t="s">
        <v>2174</v>
      </c>
      <c r="B44" s="99" t="s">
        <v>2173</v>
      </c>
    </row>
    <row r="45" spans="1:2" ht="17.5" x14ac:dyDescent="0.35">
      <c r="A45" s="10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C2" sqref="C2"/>
    </sheetView>
  </sheetViews>
  <sheetFormatPr baseColWidth="10" defaultColWidth="8.7265625" defaultRowHeight="14.5" x14ac:dyDescent="0.35"/>
  <cols>
    <col min="1" max="1" width="28" customWidth="1"/>
    <col min="2" max="2" width="16" customWidth="1"/>
    <col min="3" max="3" width="14" customWidth="1"/>
  </cols>
  <sheetData>
    <row r="1" spans="1:3" x14ac:dyDescent="0.35">
      <c r="A1" s="55" t="s">
        <v>2</v>
      </c>
      <c r="B1" s="55" t="s">
        <v>2108</v>
      </c>
      <c r="C1" s="55" t="s">
        <v>2109</v>
      </c>
    </row>
    <row r="2" spans="1:3" x14ac:dyDescent="0.35">
      <c r="A2" s="56" t="s">
        <v>50</v>
      </c>
      <c r="B2" s="57">
        <v>44</v>
      </c>
      <c r="C2" s="57">
        <v>23</v>
      </c>
    </row>
    <row r="3" spans="1:3" x14ac:dyDescent="0.35">
      <c r="A3" s="58" t="s">
        <v>79</v>
      </c>
      <c r="B3" s="59">
        <v>30</v>
      </c>
      <c r="C3" s="59">
        <v>17</v>
      </c>
    </row>
    <row r="4" spans="1:3" x14ac:dyDescent="0.35">
      <c r="A4" s="60" t="s">
        <v>2110</v>
      </c>
      <c r="B4" s="61">
        <v>27</v>
      </c>
      <c r="C4" s="61">
        <v>14</v>
      </c>
    </row>
    <row r="5" spans="1:3" x14ac:dyDescent="0.35">
      <c r="A5" s="62" t="s">
        <v>2111</v>
      </c>
      <c r="B5" s="63">
        <v>27</v>
      </c>
      <c r="C5" s="63">
        <v>14</v>
      </c>
    </row>
    <row r="6" spans="1:3" x14ac:dyDescent="0.35">
      <c r="A6" s="64" t="s">
        <v>16</v>
      </c>
      <c r="B6" s="65">
        <v>33</v>
      </c>
      <c r="C6" s="65">
        <v>17</v>
      </c>
    </row>
    <row r="7" spans="1:3" x14ac:dyDescent="0.35">
      <c r="A7" s="66" t="s">
        <v>216</v>
      </c>
      <c r="B7" s="67">
        <v>113</v>
      </c>
      <c r="C7" s="67">
        <v>57</v>
      </c>
    </row>
    <row r="8" spans="1:3" x14ac:dyDescent="0.35">
      <c r="A8" s="68" t="s">
        <v>2112</v>
      </c>
      <c r="B8" s="69">
        <v>47</v>
      </c>
      <c r="C8" s="69">
        <v>24</v>
      </c>
    </row>
    <row r="9" spans="1:3" x14ac:dyDescent="0.35">
      <c r="A9" s="70" t="s">
        <v>2113</v>
      </c>
      <c r="B9" s="71">
        <v>22</v>
      </c>
      <c r="C9" s="71">
        <v>11</v>
      </c>
    </row>
    <row r="10" spans="1:3" x14ac:dyDescent="0.35">
      <c r="A10" s="72" t="s">
        <v>2114</v>
      </c>
      <c r="B10" s="73">
        <v>18</v>
      </c>
      <c r="C10" s="73">
        <v>10</v>
      </c>
    </row>
    <row r="11" spans="1:3" x14ac:dyDescent="0.35">
      <c r="A11" s="74" t="s">
        <v>2115</v>
      </c>
      <c r="B11" s="75">
        <v>98</v>
      </c>
      <c r="C11" s="75">
        <v>49</v>
      </c>
    </row>
    <row r="12" spans="1:3" x14ac:dyDescent="0.35">
      <c r="A12" s="76" t="s">
        <v>145</v>
      </c>
      <c r="B12" s="77">
        <v>49</v>
      </c>
      <c r="C12" s="77">
        <v>26</v>
      </c>
    </row>
    <row r="13" spans="1:3" x14ac:dyDescent="0.35">
      <c r="A13" s="78" t="s">
        <v>8</v>
      </c>
      <c r="B13" s="79">
        <v>94</v>
      </c>
      <c r="C13" s="79">
        <v>49</v>
      </c>
    </row>
    <row r="14" spans="1:3" x14ac:dyDescent="0.35">
      <c r="A14" s="80" t="s">
        <v>2116</v>
      </c>
      <c r="B14" s="81">
        <v>29</v>
      </c>
      <c r="C14" s="81">
        <v>15</v>
      </c>
    </row>
    <row r="15" spans="1:3" x14ac:dyDescent="0.35">
      <c r="A15" s="82" t="s">
        <v>2117</v>
      </c>
      <c r="B15" s="83">
        <v>27</v>
      </c>
      <c r="C15" s="83">
        <v>14</v>
      </c>
    </row>
    <row r="16" spans="1:3" x14ac:dyDescent="0.35">
      <c r="A16" s="84" t="s">
        <v>2118</v>
      </c>
      <c r="B16" s="85">
        <v>47</v>
      </c>
      <c r="C16" s="85">
        <v>24</v>
      </c>
    </row>
    <row r="17" spans="1:3" x14ac:dyDescent="0.35">
      <c r="A17" s="86" t="s">
        <v>2119</v>
      </c>
      <c r="B17" s="86">
        <v>705</v>
      </c>
      <c r="C17" s="86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Questions</vt:lpstr>
      <vt:lpstr>Nombre</vt:lpstr>
      <vt:lpstr>Noms Themes</vt:lpstr>
      <vt:lpstr>📊 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Deivassagayame, Sylvain (MS CS EL) - AF</cp:lastModifiedBy>
  <dcterms:created xsi:type="dcterms:W3CDTF">2026-03-30T14:34:27Z</dcterms:created>
  <dcterms:modified xsi:type="dcterms:W3CDTF">2026-05-25T18:53:06Z</dcterms:modified>
</cp:coreProperties>
</file>